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eature Map" sheetId="2" state="visible" r:id="rId2"/>
    <sheet name="Plants" sheetId="3" state="visible" r:id="rId3"/>
    <sheet name="Input Products" sheetId="4" state="visible" r:id="rId4"/>
    <sheet name="Recommendation Models" sheetId="5" state="visible" r:id="rId5"/>
    <sheet name="Calculators" sheetId="6" state="visible" r:id="rId6"/>
    <sheet name="Logistics" sheetId="7" state="visible" r:id="rId7"/>
    <sheet name="Content &amp; Policies" sheetId="8" state="visible" r:id="rId8"/>
    <sheet name="Category Map" sheetId="9" state="visible" r:id="rId9"/>
  </sheets>
  <definedNames>
    <definedName name="_xlnm._FilterDatabase" localSheetId="2" hidden="1">'Plants'!$A$4:$AT$227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 &quot;#,##0"/>
  </numFmts>
  <fonts count="7">
    <font>
      <name val="Calibri"/>
      <family val="2"/>
      <color theme="1"/>
      <sz val="11"/>
      <scheme val="minor"/>
    </font>
    <font>
      <name val="Arial"/>
      <b val="1"/>
      <color rgb="001B4332"/>
      <sz val="14"/>
    </font>
    <font>
      <name val="Arial"/>
      <i val="1"/>
      <color rgb="005A5A5A"/>
      <sz val="10"/>
    </font>
    <font>
      <name val="Arial"/>
      <b val="1"/>
      <color rgb="001B4332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B4332"/>
      <sz val="12"/>
    </font>
  </fonts>
  <fills count="6">
    <fill>
      <patternFill/>
    </fill>
    <fill>
      <patternFill patternType="gray125"/>
    </fill>
    <fill>
      <patternFill patternType="solid">
        <fgColor rgb="00E8EFE9"/>
      </patternFill>
    </fill>
    <fill>
      <patternFill patternType="solid">
        <fgColor rgb="00FFF4C2"/>
      </patternFill>
    </fill>
    <fill>
      <patternFill patternType="solid">
        <fgColor rgb="00DCE6F2"/>
      </patternFill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Hasiru Agro: New E-Commerce Website, Data Collection Sheet</t>
        </is>
      </c>
    </row>
    <row r="2">
      <c r="A2" s="2" t="inlineStr">
        <is>
          <t>Prepared by WODO for the Hasiru Agro team. Please fill the yellow cells in every tab.</t>
        </is>
      </c>
    </row>
    <row r="4">
      <c r="A4" s="3" t="inlineStr">
        <is>
          <t>Purpose</t>
        </is>
      </c>
      <c r="B4" s="4" t="inlineStr">
        <is>
          <t>The new website needs product, recommendation, calculator and delivery data to power the features in the SRS. This workbook lists every feature, the data it needs, and gives a place to fill it.</t>
        </is>
      </c>
    </row>
    <row r="5">
      <c r="A5" s="3" t="inlineStr">
        <is>
          <t>Colour key</t>
        </is>
      </c>
      <c r="B5" s="4" t="inlineStr"/>
    </row>
    <row r="6">
      <c r="A6" s="3" t="inlineStr"/>
      <c r="B6" s="5" t="inlineStr">
        <is>
          <t>Green cells: already taken from the old hasiruagro.com shop. Please check and correct.</t>
        </is>
      </c>
    </row>
    <row r="7">
      <c r="A7" s="3" t="inlineStr"/>
      <c r="B7" s="6" t="inlineStr">
        <is>
          <t>Yellow cells: please fill. These are new and required for the new features.</t>
        </is>
      </c>
    </row>
    <row r="8">
      <c r="A8" s="3" t="inlineStr"/>
      <c r="B8" s="7" t="inlineStr">
        <is>
          <t>Blue cells: calculated automatically. Do not edit.</t>
        </is>
      </c>
    </row>
    <row r="9">
      <c r="A9" s="3" t="inlineStr">
        <is>
          <t>Tabs</t>
        </is>
      </c>
      <c r="B9" s="4" t="inlineStr"/>
    </row>
    <row r="10">
      <c r="A10" s="3" t="inlineStr">
        <is>
          <t>1. Feature Map</t>
        </is>
      </c>
      <c r="B10" s="4" t="inlineStr">
        <is>
          <t>Every website feature, the SRS section it comes from, and which tab/columns feed it.</t>
        </is>
      </c>
    </row>
    <row r="11">
      <c r="A11" s="3" t="inlineStr">
        <is>
          <t>2. Plants</t>
        </is>
      </c>
      <c r="B11" s="4" t="inlineStr">
        <is>
          <t>All 193 plants from the old shop, pre-filled. Add new columns (category, weight, spacing, model role, etc.). Add new plants at the bottom.</t>
        </is>
      </c>
    </row>
    <row r="12">
      <c r="A12" s="3" t="inlineStr">
        <is>
          <t>3. Input Products</t>
        </is>
      </c>
      <c r="B12" s="4" t="inlineStr">
        <is>
          <t>Compost, vermicompost, biochar, seeds, liquid fertiliser, bio-pesticide. New, please fill fully.</t>
        </is>
      </c>
    </row>
    <row r="13">
      <c r="A13" s="3" t="inlineStr">
        <is>
          <t>4. Recommendation Models</t>
        </is>
      </c>
      <c r="B13" s="4" t="inlineStr">
        <is>
          <t>Commercial, Food Forest, Miyawaki: which plants, their role (main/host/biomass), spacing and quantities.</t>
        </is>
      </c>
    </row>
    <row r="14">
      <c r="A14" s="3" t="inlineStr">
        <is>
          <t>5. Calculators</t>
        </is>
      </c>
      <c r="B14" s="4" t="inlineStr">
        <is>
          <t>Formulas for the plant, compost, biochar, vermicompost and seed calculators.</t>
        </is>
      </c>
    </row>
    <row r="15">
      <c r="A15" s="3" t="inlineStr">
        <is>
          <t>6. Logistics</t>
        </is>
      </c>
      <c r="B15" s="4" t="inlineStr">
        <is>
          <t>Vehicles, capacity, delivery zones, Bengaluru schedule, outstation rates, packing charges.</t>
        </is>
      </c>
    </row>
    <row r="16">
      <c r="A16" s="3" t="inlineStr">
        <is>
          <t>7. Content &amp; Policies</t>
        </is>
      </c>
      <c r="B16" s="4" t="inlineStr">
        <is>
          <t>Checklist of text, logos, photos, videos, testimonials, client and project data.</t>
        </is>
      </c>
    </row>
    <row r="17">
      <c r="A17" s="3" t="inlineStr">
        <is>
          <t>8. Category Map</t>
        </is>
      </c>
      <c r="B17" s="4" t="inlineStr">
        <is>
          <t>Proposed mapping of old shop categories to the new Timber / Fruiting / Other structure.</t>
        </is>
      </c>
    </row>
    <row r="18">
      <c r="A18" s="3" t="inlineStr">
        <is>
          <t>Notes</t>
        </is>
      </c>
      <c r="B18" s="4" t="inlineStr"/>
    </row>
    <row r="19">
      <c r="A19" s="3" t="inlineStr">
        <is>
          <t>Pricing</t>
        </is>
      </c>
      <c r="B19" s="4" t="inlineStr">
        <is>
          <t>Each plant has a normal price (below its bulk quantity) and a bulk price. The bulk quantity differs per plant: e.g. 50 for big trees like mango, 200 for small shrubs. Fill both columns in the Plants tab. Old Regular / Sale / Offline prices are shown for reference.</t>
        </is>
      </c>
    </row>
    <row r="20">
      <c r="A20" s="3" t="inlineStr">
        <is>
          <t>Sizes</t>
        </is>
      </c>
      <c r="B20" s="4" t="inlineStr">
        <is>
          <t>Plant sizes: do any plants come in more than one size (e.g. 1.5 ft and 6 ft)? If yes, add one row per size and use the same Parent Name.</t>
        </is>
      </c>
    </row>
    <row r="21">
      <c r="A21" s="3" t="inlineStr">
        <is>
          <t>Weights</t>
        </is>
      </c>
      <c r="B21" s="4" t="inlineStr">
        <is>
          <t>Weights: every plant currently shows 1 kg / 70 cm (placeholder). Real weight and pot/bag size are needed for delivery and truck-capacity calculation.</t>
        </is>
      </c>
    </row>
    <row r="22">
      <c r="A22" s="3" t="inlineStr">
        <is>
          <t>GST</t>
        </is>
      </c>
      <c r="B22" s="4" t="inlineStr">
        <is>
          <t>GST: please confirm HSN and GST % per product (plants are usually HSN 0602 at 0%, vermicompost/compost 3101 at 5%; confirm with your CA).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9" customWidth="1" min="4" max="4"/>
    <col width="48" customWidth="1" min="5" max="5"/>
    <col width="52" customWidth="1" min="6" max="6"/>
    <col width="22" customWidth="1" min="7" max="7"/>
    <col width="11" customWidth="1" min="8" max="8"/>
    <col width="14" customWidth="1" min="9" max="9"/>
  </cols>
  <sheetData>
    <row r="1">
      <c r="A1" s="1" t="inlineStr">
        <is>
          <t>Feature Map</t>
        </is>
      </c>
    </row>
    <row r="2">
      <c r="A2" s="2" t="inlineStr">
        <is>
          <t>Each website feature and the data needed to build it.</t>
        </is>
      </c>
    </row>
    <row r="4" ht="42" customHeight="1">
      <c r="A4" s="8" t="inlineStr">
        <is>
          <t>#</t>
        </is>
      </c>
      <c r="B4" s="8" t="inlineStr">
        <is>
          <t>Feature</t>
        </is>
      </c>
      <c r="C4" s="8" t="inlineStr">
        <is>
          <t>Where on site</t>
        </is>
      </c>
      <c r="D4" s="8" t="inlineStr">
        <is>
          <t>SRS ref</t>
        </is>
      </c>
      <c r="E4" s="8" t="inlineStr">
        <is>
          <t>What it does</t>
        </is>
      </c>
      <c r="F4" s="8" t="inlineStr">
        <is>
          <t>Data needed from Hasiru Agro</t>
        </is>
      </c>
      <c r="G4" s="8" t="inlineStr">
        <is>
          <t>Filled in tab</t>
        </is>
      </c>
      <c r="H4" s="8" t="inlineStr">
        <is>
          <t>Priority</t>
        </is>
      </c>
      <c r="I4" s="8" t="inlineStr">
        <is>
          <t>Status</t>
        </is>
      </c>
    </row>
    <row r="5">
      <c r="A5" s="9" t="n">
        <v>1</v>
      </c>
      <c r="B5" s="9" t="inlineStr">
        <is>
          <t>Two-path entry (I know what I want / Help me choose)</t>
        </is>
      </c>
      <c r="C5" s="9" t="inlineStr">
        <is>
          <t>Home hero</t>
        </is>
      </c>
      <c r="D5" s="9" t="inlineStr">
        <is>
          <t>1.1</t>
        </is>
      </c>
      <c r="E5" s="9" t="inlineStr">
        <is>
          <t>Splits shoppers into direct shop vs guided recommendation.</t>
        </is>
      </c>
      <c r="F5" s="9" t="inlineStr">
        <is>
          <t>Banner image, headline copy.</t>
        </is>
      </c>
      <c r="G5" s="9" t="inlineStr">
        <is>
          <t>Content &amp; Policies</t>
        </is>
      </c>
      <c r="H5" s="9" t="inlineStr">
        <is>
          <t>Must</t>
        </is>
      </c>
      <c r="I5" s="9" t="inlineStr">
        <is>
          <t>Pending</t>
        </is>
      </c>
    </row>
    <row r="6">
      <c r="A6" s="9" t="n">
        <v>2</v>
      </c>
      <c r="B6" s="9" t="inlineStr">
        <is>
          <t>Best sellers carousel (quick-commerce style)</t>
        </is>
      </c>
      <c r="C6" s="9" t="inlineStr">
        <is>
          <t>Home</t>
        </is>
      </c>
      <c r="D6" s="9" t="inlineStr">
        <is>
          <t>1.2</t>
        </is>
      </c>
      <c r="E6" s="9" t="inlineStr">
        <is>
          <t>Horizontal swipe cards with add to cart.</t>
        </is>
      </c>
      <c r="F6" s="9" t="inlineStr">
        <is>
          <t>Best seller flag, image, height, exposure, rain, temperature, packet weight, price, offer price, availability.</t>
        </is>
      </c>
      <c r="G6" s="9" t="inlineStr">
        <is>
          <t>Plants</t>
        </is>
      </c>
      <c r="H6" s="9" t="inlineStr">
        <is>
          <t>Must</t>
        </is>
      </c>
      <c r="I6" s="9" t="inlineStr">
        <is>
          <t>Pending</t>
        </is>
      </c>
    </row>
    <row r="7">
      <c r="A7" s="9" t="n">
        <v>3</v>
      </c>
      <c r="B7" s="9" t="inlineStr">
        <is>
          <t>Simple plant calculator (plants per acre)</t>
        </is>
      </c>
      <c r="C7" s="9" t="inlineStr">
        <is>
          <t>Home + floating on Shop</t>
        </is>
      </c>
      <c r="D7" s="9" t="inlineStr">
        <is>
          <t>1.2A, 3.4</t>
        </is>
      </c>
      <c r="E7" s="9" t="inlineStr">
        <is>
          <t>43,560 / (spacing L x W ft) = plants per acre.</t>
        </is>
      </c>
      <c r="F7" s="9" t="inlineStr">
        <is>
          <t>Recommended spacing L and W (ft) per plant. Confirm formula and any buffer % (note '43,560 x 3 / 100' in sketch).</t>
        </is>
      </c>
      <c r="G7" s="9" t="inlineStr">
        <is>
          <t>Plants, Calculators</t>
        </is>
      </c>
      <c r="H7" s="9" t="inlineStr">
        <is>
          <t>Must</t>
        </is>
      </c>
      <c r="I7" s="9" t="inlineStr">
        <is>
          <t>Pending</t>
        </is>
      </c>
    </row>
    <row r="8">
      <c r="A8" s="9" t="n">
        <v>4</v>
      </c>
      <c r="B8" s="9" t="inlineStr">
        <is>
          <t>Input products carousel</t>
        </is>
      </c>
      <c r="C8" s="9" t="inlineStr">
        <is>
          <t>Home</t>
        </is>
      </c>
      <c r="D8" s="9" t="inlineStr">
        <is>
          <t>1.3</t>
        </is>
      </c>
      <c r="E8" s="9" t="inlineStr">
        <is>
          <t>Compost, seeds, biochar, liquid fertiliser, bio-pesticide cards.</t>
        </is>
      </c>
      <c r="F8" s="9" t="inlineStr">
        <is>
          <t>Full input product list with pack sizes and prices.</t>
        </is>
      </c>
      <c r="G8" s="9" t="inlineStr">
        <is>
          <t>Input Products</t>
        </is>
      </c>
      <c r="H8" s="9" t="inlineStr">
        <is>
          <t>Must</t>
        </is>
      </c>
      <c r="I8" s="9" t="inlineStr">
        <is>
          <t>Pending</t>
        </is>
      </c>
    </row>
    <row r="9">
      <c r="A9" s="9" t="n">
        <v>5</v>
      </c>
      <c r="B9" s="9" t="inlineStr">
        <is>
          <t>Compost calculator</t>
        </is>
      </c>
      <c r="C9" s="9" t="inlineStr">
        <is>
          <t>Home</t>
        </is>
      </c>
      <c r="D9" s="9" t="inlineStr">
        <is>
          <t>1.4</t>
        </is>
      </c>
      <c r="E9" s="9" t="inlineStr">
        <is>
          <t>Plants selected -&gt; estimated compost -&gt; recommended product -&gt; add to cart.</t>
        </is>
      </c>
      <c r="F9" s="9" t="inlineStr">
        <is>
          <t>Compost kg per plant (by plant size/type), product to recommend.</t>
        </is>
      </c>
      <c r="G9" s="9" t="inlineStr">
        <is>
          <t>Calculators, Plants</t>
        </is>
      </c>
      <c r="H9" s="9" t="inlineStr">
        <is>
          <t>Must</t>
        </is>
      </c>
      <c r="I9" s="9" t="inlineStr">
        <is>
          <t>Pending</t>
        </is>
      </c>
    </row>
    <row r="10">
      <c r="A10" s="9" t="n">
        <v>6</v>
      </c>
      <c r="B10" s="9" t="inlineStr">
        <is>
          <t>Incubated by UAS Dharwad band</t>
        </is>
      </c>
      <c r="C10" s="9" t="inlineStr">
        <is>
          <t>Home + About</t>
        </is>
      </c>
      <c r="D10" s="9" t="inlineStr">
        <is>
          <t>1.5, 26</t>
        </is>
      </c>
      <c r="E10" s="9" t="inlineStr">
        <is>
          <t>Running band of institutional logos.</t>
        </is>
      </c>
      <c r="F10" s="9" t="inlineStr">
        <is>
          <t>Logos (UAS Dharwad, Startup India, MSME, others), approved wording, links.</t>
        </is>
      </c>
      <c r="G10" s="9" t="inlineStr">
        <is>
          <t>Content &amp; Policies</t>
        </is>
      </c>
      <c r="H10" s="9" t="inlineStr">
        <is>
          <t>Must</t>
        </is>
      </c>
      <c r="I10" s="9" t="inlineStr">
        <is>
          <t>Pending</t>
        </is>
      </c>
    </row>
    <row r="11">
      <c r="A11" s="9" t="n">
        <v>7</v>
      </c>
      <c r="B11" s="9" t="inlineStr">
        <is>
          <t>DIY / Learn how videos</t>
        </is>
      </c>
      <c r="C11" s="9" t="inlineStr">
        <is>
          <t>Home + Recommendation page</t>
        </is>
      </c>
      <c r="D11" s="9" t="inlineStr">
        <is>
          <t>1.6, 8</t>
        </is>
      </c>
      <c r="E11" s="9" t="inlineStr">
        <is>
          <t>Video carousel; model-specific planting video.</t>
        </is>
      </c>
      <c r="F11" s="9" t="inlineStr">
        <is>
          <t>Video URLs, titles, thumbnails, category, linked model.</t>
        </is>
      </c>
      <c r="G11" s="9" t="inlineStr">
        <is>
          <t>Content &amp; Policies</t>
        </is>
      </c>
      <c r="H11" s="9" t="inlineStr">
        <is>
          <t>Must</t>
        </is>
      </c>
      <c r="I11" s="9" t="inlineStr">
        <is>
          <t>Pending</t>
        </is>
      </c>
    </row>
    <row r="12">
      <c r="A12" s="9" t="n">
        <v>8</v>
      </c>
      <c r="B12" s="9" t="inlineStr">
        <is>
          <t>Why Choose Us</t>
        </is>
      </c>
      <c r="C12" s="9" t="inlineStr">
        <is>
          <t>Home + own page</t>
        </is>
      </c>
      <c r="D12" s="9" t="inlineStr">
        <is>
          <t>1.7, 2, 24</t>
        </is>
      </c>
      <c r="E12" s="9" t="inlineStr">
        <is>
          <t>Authenticity, expertise, results, delivery to farm.</t>
        </is>
      </c>
      <c r="F12" s="9" t="inlineStr">
        <is>
          <t>Verified numbers: acres, farms, customers, projects, plants planted.</t>
        </is>
      </c>
      <c r="G12" s="9" t="inlineStr">
        <is>
          <t>Content &amp; Policies</t>
        </is>
      </c>
      <c r="H12" s="9" t="inlineStr">
        <is>
          <t>Must</t>
        </is>
      </c>
      <c r="I12" s="9" t="inlineStr">
        <is>
          <t>Pending</t>
        </is>
      </c>
    </row>
    <row r="13">
      <c r="A13" s="9" t="n">
        <v>9</v>
      </c>
      <c r="B13" s="9" t="inlineStr">
        <is>
          <t>Testimonials</t>
        </is>
      </c>
      <c r="C13" s="9" t="inlineStr">
        <is>
          <t>Home</t>
        </is>
      </c>
      <c r="D13" s="9" t="inlineStr">
        <is>
          <t>1.8</t>
        </is>
      </c>
      <c r="E13" s="9" t="inlineStr">
        <is>
          <t>Horizontal review cards.</t>
        </is>
      </c>
      <c r="F13" s="9" t="inlineStr">
        <is>
          <t>Name, location, photo, review, rating, farm/project info.</t>
        </is>
      </c>
      <c r="G13" s="9" t="inlineStr">
        <is>
          <t>Content &amp; Policies</t>
        </is>
      </c>
      <c r="H13" s="9" t="inlineStr">
        <is>
          <t>Must</t>
        </is>
      </c>
      <c r="I13" s="9" t="inlineStr">
        <is>
          <t>Pending</t>
        </is>
      </c>
    </row>
    <row r="14">
      <c r="A14" s="9" t="n">
        <v>10</v>
      </c>
      <c r="B14" s="9" t="inlineStr">
        <is>
          <t>Plant shop with categories</t>
        </is>
      </c>
      <c r="C14" s="9" t="inlineStr">
        <is>
          <t>Shop</t>
        </is>
      </c>
      <c r="D14" s="9" t="inlineStr">
        <is>
          <t>3.1-3.3</t>
        </is>
      </c>
      <c r="E14" s="9" t="inlineStr">
        <is>
          <t>Timber / Fruiting / Other grid with qty +/-.</t>
        </is>
      </c>
      <c r="F14" s="9" t="inlineStr">
        <is>
          <t>Final category per plant, description, price, stock, availability.</t>
        </is>
      </c>
      <c r="G14" s="9" t="inlineStr">
        <is>
          <t>Plants, Category Map</t>
        </is>
      </c>
      <c r="H14" s="9" t="inlineStr">
        <is>
          <t>Must</t>
        </is>
      </c>
      <c r="I14" s="9" t="inlineStr">
        <is>
          <t>Pending</t>
        </is>
      </c>
    </row>
    <row r="15">
      <c r="A15" s="9" t="n">
        <v>11</v>
      </c>
      <c r="B15" s="9" t="inlineStr">
        <is>
          <t>Product attributes</t>
        </is>
      </c>
      <c r="C15" s="9" t="inlineStr">
        <is>
          <t>Product page</t>
        </is>
      </c>
      <c r="D15" s="9" t="inlineStr">
        <is>
          <t>1.2, 3.2</t>
        </is>
      </c>
      <c r="E15" s="9" t="inlineStr">
        <is>
          <t>Spec table on each plant.</t>
        </is>
      </c>
      <c r="F15" s="9" t="inlineStr">
        <is>
          <t>Height, exposure, rain, temperature, type, bearing time, yield, spacing, harvest season.</t>
        </is>
      </c>
      <c r="G15" s="9" t="inlineStr">
        <is>
          <t>Plants</t>
        </is>
      </c>
      <c r="H15" s="9" t="inlineStr">
        <is>
          <t>Must</t>
        </is>
      </c>
      <c r="I15" s="9" t="inlineStr">
        <is>
          <t>Pending</t>
        </is>
      </c>
    </row>
    <row r="16">
      <c r="A16" s="9" t="n">
        <v>12</v>
      </c>
      <c r="B16" s="9" t="inlineStr">
        <is>
          <t>Help me choose wizard</t>
        </is>
      </c>
      <c r="C16" s="9" t="inlineStr">
        <is>
          <t>Popup</t>
        </is>
      </c>
      <c r="D16" s="9" t="inlineStr">
        <is>
          <t>4.1-4.3</t>
        </is>
      </c>
      <c r="E16" s="9" t="inlineStr">
        <is>
          <t>Land size (acre / sq ft), location (map/search), purpose, name + phone OTP, Generate.</t>
        </is>
      </c>
      <c r="F16" s="9" t="inlineStr">
        <is>
          <t>Purposes list (Commercial, Food Forest, Miyawaki, others). Any location-based rules (which plants suit which district/climate).</t>
        </is>
      </c>
      <c r="G16" s="9" t="inlineStr">
        <is>
          <t>Recommendation Models</t>
        </is>
      </c>
      <c r="H16" s="9" t="inlineStr">
        <is>
          <t>Must</t>
        </is>
      </c>
      <c r="I16" s="9" t="inlineStr">
        <is>
          <t>Pending</t>
        </is>
      </c>
    </row>
    <row r="17">
      <c r="A17" s="9" t="n">
        <v>13</v>
      </c>
      <c r="B17" s="9" t="inlineStr">
        <is>
          <t>Recommendation page (3 models)</t>
        </is>
      </c>
      <c r="C17" s="9" t="inlineStr">
        <is>
          <t>Recommendation</t>
        </is>
      </c>
      <c r="D17" s="9" t="inlineStr">
        <is>
          <t>5.1-5.6</t>
        </is>
      </c>
      <c r="E17" s="9" t="inlineStr">
        <is>
          <t>All 3 models generated, expandable, each with plants by category and recommended quantity.</t>
        </is>
      </c>
      <c r="F17" s="9" t="inlineStr">
        <is>
          <t>Per model: plants, category, role, spacing, quantity per 36x36 ft and per acre.</t>
        </is>
      </c>
      <c r="G17" s="9" t="inlineStr">
        <is>
          <t>Recommendation Models</t>
        </is>
      </c>
      <c r="H17" s="9" t="inlineStr">
        <is>
          <t>Must</t>
        </is>
      </c>
      <c r="I17" s="9" t="inlineStr">
        <is>
          <t>Pending</t>
        </is>
      </c>
    </row>
    <row r="18">
      <c r="A18" s="9" t="n">
        <v>14</v>
      </c>
      <c r="B18" s="9" t="inlineStr">
        <is>
          <t>36 x 36 ft plantation diagram</t>
        </is>
      </c>
      <c r="C18" s="9" t="inlineStr">
        <is>
          <t>Recommendation</t>
        </is>
      </c>
      <c r="D18" s="9" t="inlineStr">
        <is>
          <t>5.3</t>
        </is>
      </c>
      <c r="E18" s="9" t="inlineStr">
        <is>
          <t>Visual layout of main / host / biomass plants and spacing.</t>
        </is>
      </c>
      <c r="F18" s="9" t="inlineStr">
        <is>
          <t>Planting pattern for each model (grid drawing or row pattern like M o X o X o M), legend.</t>
        </is>
      </c>
      <c r="G18" s="9" t="inlineStr">
        <is>
          <t>Recommendation Models</t>
        </is>
      </c>
      <c r="H18" s="9" t="inlineStr">
        <is>
          <t>Must</t>
        </is>
      </c>
      <c r="I18" s="9" t="inlineStr">
        <is>
          <t>Pending</t>
        </is>
      </c>
    </row>
    <row r="19">
      <c r="A19" s="9" t="n">
        <v>15</v>
      </c>
      <c r="B19" s="9" t="inlineStr">
        <is>
          <t>Recommended inputs (biochar, vermicompost)</t>
        </is>
      </c>
      <c r="C19" s="9" t="inlineStr">
        <is>
          <t>Recommendation + Cart</t>
        </is>
      </c>
      <c r="D19" s="9" t="inlineStr">
        <is>
          <t>6, 6.1</t>
        </is>
      </c>
      <c r="E19" s="9" t="inlineStr">
        <is>
          <t>Calculates input kg from plants selected; suggests products.</t>
        </is>
      </c>
      <c r="F19" s="9" t="inlineStr">
        <is>
          <t>kg per plant for each input, by plant type/size and model.</t>
        </is>
      </c>
      <c r="G19" s="9" t="inlineStr">
        <is>
          <t>Calculators, Plants</t>
        </is>
      </c>
      <c r="H19" s="9" t="inlineStr">
        <is>
          <t>Must</t>
        </is>
      </c>
      <c r="I19" s="9" t="inlineStr">
        <is>
          <t>Pending</t>
        </is>
      </c>
    </row>
    <row r="20">
      <c r="A20" s="9" t="n">
        <v>16</v>
      </c>
      <c r="B20" s="9" t="inlineStr">
        <is>
          <t>Recommended package in cart</t>
        </is>
      </c>
      <c r="C20" s="9" t="inlineStr">
        <is>
          <t>Cart</t>
        </is>
      </c>
      <c r="D20" s="9" t="inlineStr">
        <is>
          <t>9</t>
        </is>
      </c>
      <c r="E20" s="9" t="inlineStr">
        <is>
          <t>Recommended items in a highlighted block; extra items below.</t>
        </is>
      </c>
      <c r="F20" s="9" t="inlineStr">
        <is>
          <t>None beyond models + products.</t>
        </is>
      </c>
      <c r="G20" s="9" t="inlineStr">
        <is>
          <t>-</t>
        </is>
      </c>
      <c r="H20" s="9" t="inlineStr">
        <is>
          <t>Must</t>
        </is>
      </c>
      <c r="I20" s="9" t="inlineStr">
        <is>
          <t>Pending</t>
        </is>
      </c>
    </row>
    <row r="21">
      <c r="A21" s="9" t="n">
        <v>17</v>
      </c>
      <c r="B21" s="9" t="inlineStr">
        <is>
          <t>Truck capacity meter</t>
        </is>
      </c>
      <c r="C21" s="9" t="inlineStr">
        <is>
          <t>Cart</t>
        </is>
      </c>
      <c r="D21" s="9" t="inlineStr">
        <is>
          <t>13</t>
        </is>
      </c>
      <c r="E21" s="9" t="inlineStr">
        <is>
          <t>'Truck 65% full, add ~35% more'.</t>
        </is>
      </c>
      <c r="F21" s="9" t="inlineStr">
        <is>
          <t>Vehicle types, capacity (plants / kg / volume), weight and pot size per product.</t>
        </is>
      </c>
      <c r="G21" s="9" t="inlineStr">
        <is>
          <t>Logistics, Plants</t>
        </is>
      </c>
      <c r="H21" s="9" t="inlineStr">
        <is>
          <t>Must</t>
        </is>
      </c>
      <c r="I21" s="9" t="inlineStr">
        <is>
          <t>Pending</t>
        </is>
      </c>
    </row>
    <row r="22">
      <c r="A22" s="9" t="n">
        <v>18</v>
      </c>
      <c r="B22" s="9" t="inlineStr">
        <is>
          <t>Delivery options</t>
        </is>
      </c>
      <c r="C22" s="9" t="inlineStr">
        <is>
          <t>Checkout</t>
        </is>
      </c>
      <c r="D22" s="9" t="inlineStr">
        <is>
          <t>12, 14, 15, 29</t>
        </is>
      </c>
      <c r="E22" s="9" t="inlineStr">
        <is>
          <t>Nursery pickup (free), Bengaluru weekly slot, outstation by km + weight.</t>
        </is>
      </c>
      <c r="F22" s="9" t="inlineStr">
        <is>
          <t>Bengaluru delivery day/slot, zones/PIN codes, per-km rates, minimum charges, outstation rules.</t>
        </is>
      </c>
      <c r="G22" s="9" t="inlineStr">
        <is>
          <t>Logistics</t>
        </is>
      </c>
      <c r="H22" s="9" t="inlineStr">
        <is>
          <t>Must</t>
        </is>
      </c>
      <c r="I22" s="9" t="inlineStr">
        <is>
          <t>Pending</t>
        </is>
      </c>
    </row>
    <row r="23">
      <c r="A23" s="9" t="n">
        <v>19</v>
      </c>
      <c r="B23" s="9" t="inlineStr">
        <is>
          <t>Packing charges</t>
        </is>
      </c>
      <c r="C23" s="9" t="inlineStr">
        <is>
          <t>Checkout</t>
        </is>
      </c>
      <c r="D23" s="9" t="inlineStr">
        <is>
          <t>16</t>
        </is>
      </c>
      <c r="E23" s="9" t="inlineStr">
        <is>
          <t>Per order / product / qty / size based.</t>
        </is>
      </c>
      <c r="F23" s="9" t="inlineStr">
        <is>
          <t>Packing rule and rates.</t>
        </is>
      </c>
      <c r="G23" s="9" t="inlineStr">
        <is>
          <t>Logistics</t>
        </is>
      </c>
      <c r="H23" s="9" t="inlineStr">
        <is>
          <t>Must</t>
        </is>
      </c>
      <c r="I23" s="9" t="inlineStr">
        <is>
          <t>Pending</t>
        </is>
      </c>
    </row>
    <row r="24">
      <c r="A24" s="9" t="n">
        <v>20</v>
      </c>
      <c r="B24" s="9" t="inlineStr">
        <is>
          <t>GST calculation + invoices</t>
        </is>
      </c>
      <c r="C24" s="9" t="inlineStr">
        <is>
          <t>Checkout</t>
        </is>
      </c>
      <c r="D24" s="9" t="inlineStr">
        <is>
          <t>11, 41</t>
        </is>
      </c>
      <c r="E24" s="9" t="inlineStr">
        <is>
          <t>Per product tax; CGST/SGST/IGST; B2B GSTIN.</t>
        </is>
      </c>
      <c r="F24" s="9" t="inlineStr">
        <is>
          <t>HSN code and GST % per product; company GSTIN and invoice details.</t>
        </is>
      </c>
      <c r="G24" s="9" t="inlineStr">
        <is>
          <t>Plants, Input Products</t>
        </is>
      </c>
      <c r="H24" s="9" t="inlineStr">
        <is>
          <t>Must</t>
        </is>
      </c>
      <c r="I24" s="9" t="inlineStr">
        <is>
          <t>Pending</t>
        </is>
      </c>
    </row>
    <row r="25">
      <c r="A25" s="9" t="n">
        <v>21</v>
      </c>
      <c r="B25" s="9" t="inlineStr">
        <is>
          <t>Offers and coupons</t>
        </is>
      </c>
      <c r="C25" s="9" t="inlineStr">
        <is>
          <t>Cart / Checkout</t>
        </is>
      </c>
      <c r="D25" s="9" t="inlineStr">
        <is>
          <t>18, 33</t>
        </is>
      </c>
      <c r="E25" s="9" t="inlineStr">
        <is>
          <t>Admin-controlled % / fixed discounts, campaigns, coupons.</t>
        </is>
      </c>
      <c r="F25" s="9" t="inlineStr">
        <is>
          <t>Current/planned offers (e.g. SUMMER15 on old site).</t>
        </is>
      </c>
      <c r="G25" s="9" t="inlineStr">
        <is>
          <t>Content &amp; Policies</t>
        </is>
      </c>
      <c r="H25" s="9" t="inlineStr">
        <is>
          <t>Should</t>
        </is>
      </c>
      <c r="I25" s="9" t="inlineStr">
        <is>
          <t>Pending</t>
        </is>
      </c>
    </row>
    <row r="26">
      <c r="A26" s="9" t="n">
        <v>22</v>
      </c>
      <c r="B26" s="9" t="inlineStr">
        <is>
          <t>Policies</t>
        </is>
      </c>
      <c r="C26" s="9" t="inlineStr">
        <is>
          <t>Checkout + footer</t>
        </is>
      </c>
      <c r="D26" s="9" t="inlineStr">
        <is>
          <t>19, 20</t>
        </is>
      </c>
      <c r="E26" s="9" t="inlineStr">
        <is>
          <t>No cancellation / return; damage and replacement policy.</t>
        </is>
      </c>
      <c r="F26" s="9" t="inlineStr">
        <is>
          <t>Final policy wording (damage reporting window, proof needed, replacement process).</t>
        </is>
      </c>
      <c r="G26" s="9" t="inlineStr">
        <is>
          <t>Content &amp; Policies</t>
        </is>
      </c>
      <c r="H26" s="9" t="inlineStr">
        <is>
          <t>Must</t>
        </is>
      </c>
      <c r="I26" s="9" t="inlineStr">
        <is>
          <t>Pending</t>
        </is>
      </c>
    </row>
    <row r="27">
      <c r="A27" s="9" t="n">
        <v>23</v>
      </c>
      <c r="B27" s="9" t="inlineStr">
        <is>
          <t>Farm development services</t>
        </is>
      </c>
      <c r="C27" s="9" t="inlineStr">
        <is>
          <t>Farm Development page</t>
        </is>
      </c>
      <c r="D27" s="9" t="inlineStr">
        <is>
          <t>21-25</t>
        </is>
      </c>
      <c r="E27" s="9" t="inlineStr">
        <is>
          <t>Assessment, design, water, earthwork, planting; Our Work; Our Clients; enquiry form.</t>
        </is>
      </c>
      <c r="F27" s="9" t="inlineStr">
        <is>
          <t>Project list (images, location, acres, scope, before/after), client list.</t>
        </is>
      </c>
      <c r="G27" s="9" t="inlineStr">
        <is>
          <t>Content &amp; Policies</t>
        </is>
      </c>
      <c r="H27" s="9" t="inlineStr">
        <is>
          <t>Must</t>
        </is>
      </c>
      <c r="I27" s="9" t="inlineStr">
        <is>
          <t>Pending</t>
        </is>
      </c>
    </row>
    <row r="28">
      <c r="A28" s="9" t="n">
        <v>24</v>
      </c>
      <c r="B28" s="9" t="inlineStr">
        <is>
          <t>About Us</t>
        </is>
      </c>
      <c r="C28" s="9" t="inlineStr">
        <is>
          <t>About page</t>
        </is>
      </c>
      <c r="D28" s="9" t="inlineStr">
        <is>
          <t>27</t>
        </is>
      </c>
      <c r="E28" s="9" t="inlineStr">
        <is>
          <t>Chemical free, certified permaculture designer, vision, mission.</t>
        </is>
      </c>
      <c r="F28" s="9" t="inlineStr">
        <is>
          <t>Certificates, vision, mission text.</t>
        </is>
      </c>
      <c r="G28" s="9" t="inlineStr">
        <is>
          <t>Content &amp; Policies</t>
        </is>
      </c>
      <c r="H28" s="9" t="inlineStr">
        <is>
          <t>Must</t>
        </is>
      </c>
      <c r="I28" s="9" t="inlineStr">
        <is>
          <t>Pending</t>
        </is>
      </c>
    </row>
    <row r="29">
      <c r="A29" s="9" t="n">
        <v>25</v>
      </c>
      <c r="B29" s="9" t="inlineStr">
        <is>
          <t>Customer accounts + saved land profiles</t>
        </is>
      </c>
      <c r="C29" s="9" t="inlineStr">
        <is>
          <t>Account</t>
        </is>
      </c>
      <c r="D29" s="9" t="inlineStr">
        <is>
          <t>38</t>
        </is>
      </c>
      <c r="E29" s="9" t="inlineStr">
        <is>
          <t>OTP login, order history, invoices, saved land profiles.</t>
        </is>
      </c>
      <c r="F29" s="9" t="inlineStr">
        <is>
          <t>SMS / WhatsApp provider account (for OTP).</t>
        </is>
      </c>
      <c r="G29" s="9" t="inlineStr">
        <is>
          <t>Content &amp; Policies</t>
        </is>
      </c>
      <c r="H29" s="9" t="inlineStr">
        <is>
          <t>Should</t>
        </is>
      </c>
      <c r="I29" s="9" t="inlineStr">
        <is>
          <t>Pending</t>
        </is>
      </c>
    </row>
    <row r="30">
      <c r="A30" s="9" t="n">
        <v>26</v>
      </c>
      <c r="B30" s="9" t="inlineStr">
        <is>
          <t>English / Kannada</t>
        </is>
      </c>
      <c r="C30" s="9" t="inlineStr">
        <is>
          <t>Whole site</t>
        </is>
      </c>
      <c r="D30" s="9" t="inlineStr">
        <is>
          <t>39</t>
        </is>
      </c>
      <c r="E30" s="9" t="inlineStr">
        <is>
          <t>Language toggle.</t>
        </is>
      </c>
      <c r="F30" s="9" t="inlineStr">
        <is>
          <t>Kannada name for each plant and category; Kannada translations of site text.</t>
        </is>
      </c>
      <c r="G30" s="9" t="inlineStr">
        <is>
          <t>Plants, Content &amp; Policies</t>
        </is>
      </c>
      <c r="H30" s="9" t="inlineStr">
        <is>
          <t>Should</t>
        </is>
      </c>
      <c r="I30" s="9" t="inlineStr">
        <is>
          <t>Pending</t>
        </is>
      </c>
    </row>
    <row r="31">
      <c r="A31" s="9" t="n">
        <v>27</v>
      </c>
      <c r="B31" s="9" t="inlineStr">
        <is>
          <t>WhatsApp / SMS alerts</t>
        </is>
      </c>
      <c r="C31" s="9" t="inlineStr">
        <is>
          <t>Backend</t>
        </is>
      </c>
      <c r="D31" s="9" t="inlineStr">
        <is>
          <t>40</t>
        </is>
      </c>
      <c r="E31" s="9" t="inlineStr">
        <is>
          <t>OTP, order confirmations, delivery reminders, enquiry alerts.</t>
        </is>
      </c>
      <c r="F31" s="9" t="inlineStr">
        <is>
          <t>WhatsApp Business number, SMS provider, admin phone numbers for alerts.</t>
        </is>
      </c>
      <c r="G31" s="9" t="inlineStr">
        <is>
          <t>Content &amp; Policies</t>
        </is>
      </c>
      <c r="H31" s="9" t="inlineStr">
        <is>
          <t>Should</t>
        </is>
      </c>
      <c r="I31" s="9" t="inlineStr">
        <is>
          <t>Pending</t>
        </is>
      </c>
    </row>
    <row r="32">
      <c r="A32" s="9" t="n">
        <v>28</v>
      </c>
      <c r="B32" s="9" t="inlineStr">
        <is>
          <t>Payment gateway</t>
        </is>
      </c>
      <c r="C32" s="9" t="inlineStr">
        <is>
          <t>Checkout</t>
        </is>
      </c>
      <c r="D32" s="9" t="inlineStr">
        <is>
          <t>41</t>
        </is>
      </c>
      <c r="E32" s="9" t="inlineStr">
        <is>
          <t>UPI, cards, net banking, wallets.</t>
        </is>
      </c>
      <c r="F32" s="9" t="inlineStr">
        <is>
          <t>Razorpay / PhonePe / Cashfree account (KYC done).</t>
        </is>
      </c>
      <c r="G32" s="9" t="inlineStr">
        <is>
          <t>Content &amp; Policies</t>
        </is>
      </c>
      <c r="H32" s="9" t="inlineStr">
        <is>
          <t>Must</t>
        </is>
      </c>
      <c r="I32" s="9" t="inlineStr">
        <is>
          <t>Pending</t>
        </is>
      </c>
    </row>
    <row r="33">
      <c r="A33" s="9" t="n">
        <v>29</v>
      </c>
      <c r="B33" s="9" t="inlineStr">
        <is>
          <t>Admin dashboard + inventory</t>
        </is>
      </c>
      <c r="C33" s="9" t="inlineStr">
        <is>
          <t>Admin</t>
        </is>
      </c>
      <c r="D33" s="9" t="inlineStr">
        <is>
          <t>30-33</t>
        </is>
      </c>
      <c r="E33" s="9" t="inlineStr">
        <is>
          <t>Sales, regions, best sellers, low stock, enquiries, orders.</t>
        </is>
      </c>
      <c r="F33" s="9" t="inlineStr">
        <is>
          <t>Low-stock threshold per product; current stock.</t>
        </is>
      </c>
      <c r="G33" s="9" t="inlineStr">
        <is>
          <t>Plants, Input Products</t>
        </is>
      </c>
      <c r="H33" s="9" t="inlineStr">
        <is>
          <t>Must</t>
        </is>
      </c>
      <c r="I33" s="9" t="inlineStr">
        <is>
          <t>Pending</t>
        </is>
      </c>
    </row>
  </sheetData>
  <dataValidations count="2">
    <dataValidation sqref="H5:H33" showDropDown="0" showInputMessage="0" showErrorMessage="0" allowBlank="1" type="list">
      <formula1>"Must,Should,Later"</formula1>
    </dataValidation>
    <dataValidation sqref="I5:I33" showDropDown="0" showInputMessage="0" showErrorMessage="0" allowBlank="1" type="list">
      <formula1>"Pending,In progress,Data received,Done"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4" customWidth="1" min="4" max="4"/>
    <col width="15" customWidth="1" min="5" max="5"/>
    <col width="12" customWidth="1" min="6" max="6"/>
    <col width="10" customWidth="1" min="7" max="7"/>
    <col width="10" customWidth="1" min="8" max="8"/>
    <col width="14" customWidth="1" min="9" max="9"/>
    <col width="14" customWidth="1" min="10" max="10"/>
    <col width="11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10" customWidth="1" min="17" max="17"/>
    <col width="13" customWidth="1" min="18" max="18"/>
    <col width="10" customWidth="1" min="19" max="19"/>
    <col width="9" customWidth="1" min="20" max="20"/>
    <col width="9" customWidth="1" min="21" max="21"/>
    <col width="14" customWidth="1" min="22" max="22"/>
    <col width="9" customWidth="1" min="23" max="23"/>
    <col width="7" customWidth="1" min="24" max="24"/>
    <col width="8" customWidth="1" min="25" max="25"/>
    <col width="8" customWidth="1" min="26" max="26"/>
    <col width="9" customWidth="1" min="27" max="27"/>
    <col width="14" customWidth="1" min="28" max="28"/>
    <col width="14" customWidth="1" min="29" max="29"/>
    <col width="12" customWidth="1" min="30" max="30"/>
    <col width="14" customWidth="1" min="31" max="31"/>
    <col width="16" customWidth="1" min="32" max="32"/>
    <col width="10" customWidth="1" min="33" max="33"/>
    <col width="16" customWidth="1" min="34" max="34"/>
    <col width="16" customWidth="1" min="35" max="35"/>
    <col width="12" customWidth="1" min="36" max="36"/>
    <col width="18" customWidth="1" min="37" max="37"/>
    <col width="12" customWidth="1" min="38" max="38"/>
    <col width="13" customWidth="1" min="39" max="39"/>
    <col width="11" customWidth="1" min="40" max="40"/>
    <col width="10" customWidth="1" min="41" max="41"/>
    <col width="10" customWidth="1" min="42" max="42"/>
    <col width="16" customWidth="1" min="43" max="43"/>
    <col width="30" customWidth="1" min="44" max="44"/>
    <col width="10" customWidth="1" min="45" max="45"/>
    <col width="24" customWidth="1" min="46" max="46"/>
  </cols>
  <sheetData>
    <row r="1">
      <c r="A1" s="1" t="inlineStr">
        <is>
          <t>Plants: Product Master</t>
        </is>
      </c>
    </row>
    <row r="2">
      <c r="A2" s="2" t="inlineStr">
        <is>
          <t>Green = from old shop (please verify). Yellow = please fill. Blue = auto. One row per plant per size.</t>
        </is>
      </c>
    </row>
    <row r="4" ht="42" customHeight="1">
      <c r="A4" s="8" t="inlineStr">
        <is>
          <t>SKU</t>
        </is>
      </c>
      <c r="B4" s="8" t="inlineStr">
        <is>
          <t>Plant Name</t>
        </is>
      </c>
      <c r="C4" s="8" t="inlineStr">
        <is>
          <t>Kannada Name</t>
        </is>
      </c>
      <c r="D4" s="8" t="inlineStr">
        <is>
          <t>Old Category</t>
        </is>
      </c>
      <c r="E4" s="8" t="inlineStr">
        <is>
          <t>New Category</t>
        </is>
      </c>
      <c r="F4" s="8" t="inlineStr">
        <is>
          <t>Sub-category</t>
        </is>
      </c>
      <c r="G4" s="8" t="inlineStr">
        <is>
          <t>Show on site?</t>
        </is>
      </c>
      <c r="H4" s="8" t="inlineStr">
        <is>
          <t>Best Seller?</t>
        </is>
      </c>
      <c r="I4" s="8" t="inlineStr">
        <is>
          <t>Plant Type (Grafted / Seeded / Air layered...)</t>
        </is>
      </c>
      <c r="J4" s="8" t="inlineStr">
        <is>
          <t>Size / Variant (e.g. 2 ft, 6 ft)</t>
        </is>
      </c>
      <c r="K4" s="8" t="inlineStr">
        <is>
          <t>Plant Height at Sale (ft)</t>
        </is>
      </c>
      <c r="L4" s="8" t="inlineStr">
        <is>
          <t>Pot / Bag Size</t>
        </is>
      </c>
      <c r="M4" s="8" t="inlineStr">
        <is>
          <t>Weight per Plant incl. pot (kg)</t>
        </is>
      </c>
      <c r="N4" s="8" t="inlineStr">
        <is>
          <t>Plants per Truck (smallest vehicle)</t>
        </is>
      </c>
      <c r="O4" s="8" t="inlineStr">
        <is>
          <t>Regular Price (Rs)</t>
        </is>
      </c>
      <c r="P4" s="8" t="inlineStr">
        <is>
          <t>Sale Price (Rs)</t>
        </is>
      </c>
      <c r="Q4" s="8" t="inlineStr">
        <is>
          <t>Offline Price (Rs)</t>
        </is>
      </c>
      <c r="R4" s="8" t="inlineStr">
        <is>
          <t>Bulk Starts at Qty (e.g. 50 for big trees, 200 for shrubs)</t>
        </is>
      </c>
      <c r="S4" s="8" t="inlineStr">
        <is>
          <t>Bulk Price per Plant (Rs)</t>
        </is>
      </c>
      <c r="T4" s="8" t="inlineStr">
        <is>
          <t>Current Stock</t>
        </is>
      </c>
      <c r="U4" s="8" t="inlineStr">
        <is>
          <t>Low Stock Alert at</t>
        </is>
      </c>
      <c r="V4" s="8" t="inlineStr">
        <is>
          <t>Availability</t>
        </is>
      </c>
      <c r="W4" s="8" t="inlineStr">
        <is>
          <t>HSN Code</t>
        </is>
      </c>
      <c r="X4" s="8" t="inlineStr">
        <is>
          <t>GST %</t>
        </is>
      </c>
      <c r="Y4" s="8" t="inlineStr">
        <is>
          <t>Spacing L (ft)</t>
        </is>
      </c>
      <c r="Z4" s="8" t="inlineStr">
        <is>
          <t>Spacing W (ft)</t>
        </is>
      </c>
      <c r="AA4" s="8" t="inlineStr">
        <is>
          <t>Plants per Acre</t>
        </is>
      </c>
      <c r="AB4" s="8" t="inlineStr">
        <is>
          <t>Spacing (old text)</t>
        </is>
      </c>
      <c r="AC4" s="8" t="inlineStr">
        <is>
          <t>Exposure</t>
        </is>
      </c>
      <c r="AD4" s="8" t="inlineStr">
        <is>
          <t>Rain / Water Need</t>
        </is>
      </c>
      <c r="AE4" s="8" t="inlineStr">
        <is>
          <t>Temperature</t>
        </is>
      </c>
      <c r="AF4" s="8" t="inlineStr">
        <is>
          <t>Growth Habit</t>
        </is>
      </c>
      <c r="AG4" s="8" t="inlineStr">
        <is>
          <t>Bearing Time</t>
        </is>
      </c>
      <c r="AH4" s="8" t="inlineStr">
        <is>
          <t>Yield per Tree</t>
        </is>
      </c>
      <c r="AI4" s="8" t="inlineStr">
        <is>
          <t>Harvest Season</t>
        </is>
      </c>
      <c r="AJ4" s="8" t="inlineStr">
        <is>
          <t>Fruit Size</t>
        </is>
      </c>
      <c r="AK4" s="8" t="inlineStr">
        <is>
          <t>Suitable Models (Commercial / Food Forest / Miyawaki)</t>
        </is>
      </c>
      <c r="AL4" s="8" t="inlineStr">
        <is>
          <t>Role in Model (Main / Host / Biomass)</t>
        </is>
      </c>
      <c r="AM4" s="8" t="inlineStr">
        <is>
          <t>Forest Layer (Canopy / Sub-canopy / Shrub...)</t>
        </is>
      </c>
      <c r="AN4" s="8" t="inlineStr">
        <is>
          <t>Vermicompost per Plant (kg)</t>
        </is>
      </c>
      <c r="AO4" s="8" t="inlineStr">
        <is>
          <t>Biochar per Plant (kg)</t>
        </is>
      </c>
      <c r="AP4" s="8" t="inlineStr">
        <is>
          <t>Compost per Plant (kg)</t>
        </is>
      </c>
      <c r="AQ4" s="8" t="inlineStr">
        <is>
          <t>Districts / Zones NOT suitable</t>
        </is>
      </c>
      <c r="AR4" s="8" t="inlineStr">
        <is>
          <t>Image URL (old site)</t>
        </is>
      </c>
      <c r="AS4" s="8" t="inlineStr">
        <is>
          <t>New Photo Needed?</t>
        </is>
      </c>
      <c r="AT4" s="8" t="inlineStr">
        <is>
          <t>Notes / Corrections</t>
        </is>
      </c>
    </row>
    <row r="5">
      <c r="A5" s="10" t="inlineStr">
        <is>
          <t>HA001</t>
        </is>
      </c>
      <c r="B5" s="10" t="inlineStr">
        <is>
          <t>Guava KG</t>
        </is>
      </c>
      <c r="C5" s="11" t="n"/>
      <c r="D5" s="10" t="inlineStr">
        <is>
          <t>Desi Fruits</t>
        </is>
      </c>
      <c r="E5" s="11" t="inlineStr">
        <is>
          <t>Fruiting Trees</t>
        </is>
      </c>
      <c r="F5" s="11" t="inlineStr">
        <is>
          <t>Desi</t>
        </is>
      </c>
      <c r="G5" s="11" t="inlineStr">
        <is>
          <t>Yes</t>
        </is>
      </c>
      <c r="H5" s="11" t="inlineStr">
        <is>
          <t>No</t>
        </is>
      </c>
      <c r="I5" s="10" t="inlineStr">
        <is>
          <t>Air layered</t>
        </is>
      </c>
      <c r="J5" s="11" t="n"/>
      <c r="K5" s="11" t="n"/>
      <c r="L5" s="11" t="n"/>
      <c r="M5" s="11" t="n"/>
      <c r="N5" s="11" t="n"/>
      <c r="O5" s="12" t="n">
        <v>640</v>
      </c>
      <c r="P5" s="12" t="n">
        <v>450</v>
      </c>
      <c r="Q5" s="12" t="n">
        <v>180</v>
      </c>
      <c r="R5" s="11" t="n"/>
      <c r="S5" s="13" t="n"/>
      <c r="T5" s="10" t="n">
        <v>0</v>
      </c>
      <c r="U5" s="11" t="n"/>
      <c r="V5" s="11" t="inlineStr">
        <is>
          <t>Out of Stock</t>
        </is>
      </c>
      <c r="W5" s="11" t="n"/>
      <c r="X5" s="11" t="n"/>
      <c r="Y5" s="10" t="n">
        <v>18</v>
      </c>
      <c r="Z5" s="10" t="n">
        <v>18</v>
      </c>
      <c r="AA5" s="14">
        <f>IF(AND(N(Y5)&gt;0,N(Z5)&gt;0),ROUND(43560/(Y5*Z5),0),"")</f>
        <v/>
      </c>
      <c r="AB5" s="10" t="inlineStr">
        <is>
          <t>18ft x 18ft</t>
        </is>
      </c>
      <c r="AC5" s="10" t="inlineStr">
        <is>
          <t>Full sun</t>
        </is>
      </c>
      <c r="AD5" s="11" t="n"/>
      <c r="AE5" s="10" t="inlineStr">
        <is>
          <t>20°C to 40 °C</t>
        </is>
      </c>
      <c r="AF5" s="10" t="inlineStr">
        <is>
          <t>Medium sized tree</t>
        </is>
      </c>
      <c r="AG5" s="10" t="inlineStr">
        <is>
          <t>2 years</t>
        </is>
      </c>
      <c r="AH5" s="10" t="inlineStr">
        <is>
          <t>350Kg to 400Kg</t>
        </is>
      </c>
      <c r="AI5" s="10" t="inlineStr">
        <is>
          <t>Round the year</t>
        </is>
      </c>
      <c r="AJ5" s="10" t="inlineStr">
        <is>
          <t>400gms to 1000gms</t>
        </is>
      </c>
      <c r="AK5" s="11" t="n"/>
      <c r="AL5" s="11" t="n"/>
      <c r="AM5" s="11" t="n"/>
      <c r="AN5" s="11" t="n"/>
      <c r="AO5" s="11" t="n"/>
      <c r="AP5" s="11" t="n"/>
      <c r="AQ5" s="11" t="n"/>
      <c r="AR5" s="10" t="inlineStr">
        <is>
          <t>https://hasiruagro.com/wp-content/uploads/2023/08/Guava-KG-Fruit-fruit-image-Hasiruagro.jpg</t>
        </is>
      </c>
      <c r="AS5" s="11" t="n"/>
      <c r="AT5" s="11" t="n"/>
    </row>
    <row r="6">
      <c r="A6" s="10" t="inlineStr">
        <is>
          <t>HA002</t>
        </is>
      </c>
      <c r="B6" s="10" t="inlineStr">
        <is>
          <t>GuavaTaiwan Pink</t>
        </is>
      </c>
      <c r="C6" s="11" t="n"/>
      <c r="D6" s="10" t="inlineStr">
        <is>
          <t>Desi Fruits</t>
        </is>
      </c>
      <c r="E6" s="11" t="inlineStr">
        <is>
          <t>Fruiting Trees</t>
        </is>
      </c>
      <c r="F6" s="11" t="inlineStr">
        <is>
          <t>Desi</t>
        </is>
      </c>
      <c r="G6" s="11" t="inlineStr">
        <is>
          <t>Yes</t>
        </is>
      </c>
      <c r="H6" s="11" t="inlineStr">
        <is>
          <t>No</t>
        </is>
      </c>
      <c r="I6" s="10" t="inlineStr">
        <is>
          <t>Air layered</t>
        </is>
      </c>
      <c r="J6" s="11" t="n"/>
      <c r="K6" s="11" t="n"/>
      <c r="L6" s="11" t="n"/>
      <c r="M6" s="11" t="n"/>
      <c r="N6" s="11" t="n"/>
      <c r="O6" s="12" t="n">
        <v>600</v>
      </c>
      <c r="P6" s="12" t="n">
        <v>420</v>
      </c>
      <c r="Q6" s="12" t="n">
        <v>60</v>
      </c>
      <c r="R6" s="11" t="n"/>
      <c r="S6" s="13" t="n"/>
      <c r="T6" s="10" t="n">
        <v>0</v>
      </c>
      <c r="U6" s="11" t="n"/>
      <c r="V6" s="11" t="inlineStr">
        <is>
          <t>Out of Stock</t>
        </is>
      </c>
      <c r="W6" s="11" t="n"/>
      <c r="X6" s="11" t="n"/>
      <c r="Y6" s="10" t="n">
        <v>18</v>
      </c>
      <c r="Z6" s="10" t="n">
        <v>18</v>
      </c>
      <c r="AA6" s="14">
        <f>IF(AND(N(Y6)&gt;0,N(Z6)&gt;0),ROUND(43560/(Y6*Z6),0),"")</f>
        <v/>
      </c>
      <c r="AB6" s="10" t="inlineStr">
        <is>
          <t>18ft x 18ft</t>
        </is>
      </c>
      <c r="AC6" s="10" t="inlineStr">
        <is>
          <t>Full sun</t>
        </is>
      </c>
      <c r="AD6" s="11" t="n"/>
      <c r="AE6" s="10" t="inlineStr">
        <is>
          <t>20°C to 40 °C</t>
        </is>
      </c>
      <c r="AF6" s="10" t="inlineStr">
        <is>
          <t>Medium sized tree</t>
        </is>
      </c>
      <c r="AG6" s="10" t="inlineStr">
        <is>
          <t>2 years</t>
        </is>
      </c>
      <c r="AH6" s="10" t="inlineStr">
        <is>
          <t>30Kg to 70kg</t>
        </is>
      </c>
      <c r="AI6" s="10" t="inlineStr">
        <is>
          <t>Round the year</t>
        </is>
      </c>
      <c r="AJ6" s="10" t="inlineStr">
        <is>
          <t>150gms to 200gms</t>
        </is>
      </c>
      <c r="AK6" s="11" t="n"/>
      <c r="AL6" s="11" t="n"/>
      <c r="AM6" s="11" t="n"/>
      <c r="AN6" s="11" t="n"/>
      <c r="AO6" s="11" t="n"/>
      <c r="AP6" s="11" t="n"/>
      <c r="AQ6" s="11" t="n"/>
      <c r="AR6" s="10" t="inlineStr">
        <is>
          <t>https://hasiruagro.com/wp-content/uploads/2023/08/taiwan-pink-guava-fruit-fruit-image-Hasiruagro.jpg</t>
        </is>
      </c>
      <c r="AS6" s="11" t="n"/>
      <c r="AT6" s="11" t="n"/>
    </row>
    <row r="7">
      <c r="A7" s="10" t="inlineStr">
        <is>
          <t>HA003</t>
        </is>
      </c>
      <c r="B7" s="10" t="inlineStr">
        <is>
          <t>Abiu (Seeded)</t>
        </is>
      </c>
      <c r="C7" s="11" t="n"/>
      <c r="D7" s="10" t="inlineStr">
        <is>
          <t>Exotic fruits</t>
        </is>
      </c>
      <c r="E7" s="11" t="inlineStr">
        <is>
          <t>Fruiting Trees</t>
        </is>
      </c>
      <c r="F7" s="11" t="inlineStr">
        <is>
          <t>Exotic</t>
        </is>
      </c>
      <c r="G7" s="11" t="inlineStr">
        <is>
          <t>Yes</t>
        </is>
      </c>
      <c r="H7" s="11" t="inlineStr">
        <is>
          <t>No</t>
        </is>
      </c>
      <c r="I7" s="10" t="inlineStr">
        <is>
          <t>Seeded</t>
        </is>
      </c>
      <c r="J7" s="11" t="n"/>
      <c r="K7" s="11" t="n"/>
      <c r="L7" s="11" t="n"/>
      <c r="M7" s="11" t="n"/>
      <c r="N7" s="11" t="n"/>
      <c r="O7" s="12" t="n">
        <v>1560</v>
      </c>
      <c r="P7" s="12" t="n">
        <v>1090</v>
      </c>
      <c r="Q7" s="12" t="n">
        <v>680</v>
      </c>
      <c r="R7" s="11" t="n"/>
      <c r="S7" s="13" t="n"/>
      <c r="T7" s="10" t="n">
        <v>0</v>
      </c>
      <c r="U7" s="11" t="n"/>
      <c r="V7" s="11" t="inlineStr">
        <is>
          <t>Out of Stock</t>
        </is>
      </c>
      <c r="W7" s="11" t="n"/>
      <c r="X7" s="11" t="n"/>
      <c r="Y7" s="10" t="n"/>
      <c r="Z7" s="10" t="n"/>
      <c r="AA7" s="14">
        <f>IF(AND(N(Y7)&gt;0,N(Z7)&gt;0),ROUND(43560/(Y7*Z7),0),"")</f>
        <v/>
      </c>
      <c r="AB7" s="10" t="n"/>
      <c r="AC7" s="10" t="inlineStr">
        <is>
          <t>Full sun</t>
        </is>
      </c>
      <c r="AD7" s="11" t="n"/>
      <c r="AE7" s="10" t="inlineStr">
        <is>
          <t>16°C to 35 °C</t>
        </is>
      </c>
      <c r="AF7" s="10" t="inlineStr">
        <is>
          <t>Medium tree</t>
        </is>
      </c>
      <c r="AG7" s="10" t="inlineStr">
        <is>
          <t>2 years</t>
        </is>
      </c>
      <c r="AH7" s="10" t="inlineStr">
        <is>
          <t>100Kgs to 150Kgs</t>
        </is>
      </c>
      <c r="AI7" s="10" t="inlineStr">
        <is>
          <t>February to October</t>
        </is>
      </c>
      <c r="AJ7" s="10" t="inlineStr">
        <is>
          <t>300gms to 600gms</t>
        </is>
      </c>
      <c r="AK7" s="11" t="n"/>
      <c r="AL7" s="11" t="n"/>
      <c r="AM7" s="11" t="n"/>
      <c r="AN7" s="11" t="n"/>
      <c r="AO7" s="11" t="n"/>
      <c r="AP7" s="11" t="n"/>
      <c r="AQ7" s="11" t="n"/>
      <c r="AR7" s="10" t="inlineStr">
        <is>
          <t>https://hasiruagro.com/wp-content/uploads/2023/08/Abiu-Fruit-Plantplant-with-fruit-image-Hasiruagro.jpg</t>
        </is>
      </c>
      <c r="AS7" s="11" t="n"/>
      <c r="AT7" s="11" t="n"/>
    </row>
    <row r="8">
      <c r="A8" s="10" t="inlineStr">
        <is>
          <t>HA004</t>
        </is>
      </c>
      <c r="B8" s="10" t="inlineStr">
        <is>
          <t>Achachiru</t>
        </is>
      </c>
      <c r="C8" s="11" t="n"/>
      <c r="D8" s="10" t="inlineStr">
        <is>
          <t>Exotic fruits</t>
        </is>
      </c>
      <c r="E8" s="11" t="inlineStr">
        <is>
          <t>Fruiting Trees</t>
        </is>
      </c>
      <c r="F8" s="11" t="inlineStr">
        <is>
          <t>Exotic</t>
        </is>
      </c>
      <c r="G8" s="11" t="inlineStr">
        <is>
          <t>Yes</t>
        </is>
      </c>
      <c r="H8" s="11" t="inlineStr">
        <is>
          <t>No</t>
        </is>
      </c>
      <c r="I8" s="10" t="inlineStr">
        <is>
          <t>Grafted</t>
        </is>
      </c>
      <c r="J8" s="11" t="n"/>
      <c r="K8" s="11" t="n"/>
      <c r="L8" s="11" t="n"/>
      <c r="M8" s="11" t="n"/>
      <c r="N8" s="11" t="n"/>
      <c r="O8" s="12" t="n">
        <v>1540</v>
      </c>
      <c r="P8" s="12" t="n">
        <v>1080</v>
      </c>
      <c r="Q8" s="12" t="n">
        <v>830</v>
      </c>
      <c r="R8" s="11" t="n"/>
      <c r="S8" s="13" t="n"/>
      <c r="T8" s="10" t="n">
        <v>30</v>
      </c>
      <c r="U8" s="11" t="n"/>
      <c r="V8" s="11" t="inlineStr">
        <is>
          <t>Available</t>
        </is>
      </c>
      <c r="W8" s="11" t="n"/>
      <c r="X8" s="11" t="n"/>
      <c r="Y8" s="10" t="n"/>
      <c r="Z8" s="10" t="n"/>
      <c r="AA8" s="14">
        <f>IF(AND(N(Y8)&gt;0,N(Z8)&gt;0),ROUND(43560/(Y8*Z8),0),"")</f>
        <v/>
      </c>
      <c r="AB8" s="10" t="n"/>
      <c r="AC8" s="10" t="inlineStr">
        <is>
          <t>Full shade</t>
        </is>
      </c>
      <c r="AD8" s="11" t="n"/>
      <c r="AE8" s="10" t="inlineStr">
        <is>
          <t>16°C to 35 °C</t>
        </is>
      </c>
      <c r="AF8" s="10" t="inlineStr">
        <is>
          <t>Medium tree</t>
        </is>
      </c>
      <c r="AG8" s="10" t="inlineStr">
        <is>
          <t>4 years</t>
        </is>
      </c>
      <c r="AH8" s="10" t="inlineStr">
        <is>
          <t>75Kgs to 150Kgs</t>
        </is>
      </c>
      <c r="AI8" s="10" t="inlineStr">
        <is>
          <t>October to May</t>
        </is>
      </c>
      <c r="AJ8" s="10" t="inlineStr">
        <is>
          <t>100gms to 150gms</t>
        </is>
      </c>
      <c r="AK8" s="11" t="n"/>
      <c r="AL8" s="11" t="n"/>
      <c r="AM8" s="11" t="n"/>
      <c r="AN8" s="11" t="n"/>
      <c r="AO8" s="11" t="n"/>
      <c r="AP8" s="11" t="n"/>
      <c r="AQ8" s="11" t="n"/>
      <c r="AR8" s="10" t="inlineStr">
        <is>
          <t>https://hasiruagro.com/wp-content/uploads/2023/08/Achachairuplant-with-fruit-image-Hasiruagro.jpg</t>
        </is>
      </c>
      <c r="AS8" s="11" t="n"/>
      <c r="AT8" s="11" t="n"/>
    </row>
    <row r="9">
      <c r="A9" s="10" t="inlineStr">
        <is>
          <t>HA005</t>
        </is>
      </c>
      <c r="B9" s="10" t="inlineStr">
        <is>
          <t>Agarwood</t>
        </is>
      </c>
      <c r="C9" s="11" t="n"/>
      <c r="D9" s="10" t="inlineStr">
        <is>
          <t>Forestry</t>
        </is>
      </c>
      <c r="E9" s="11" t="inlineStr">
        <is>
          <t>Timber Trees</t>
        </is>
      </c>
      <c r="F9" s="11" t="n"/>
      <c r="G9" s="11" t="inlineStr">
        <is>
          <t>Yes</t>
        </is>
      </c>
      <c r="H9" s="11" t="inlineStr">
        <is>
          <t>Yes</t>
        </is>
      </c>
      <c r="I9" s="10" t="inlineStr">
        <is>
          <t>Seeded</t>
        </is>
      </c>
      <c r="J9" s="11" t="n"/>
      <c r="K9" s="11" t="n"/>
      <c r="L9" s="11" t="n"/>
      <c r="M9" s="11" t="n"/>
      <c r="N9" s="11" t="n"/>
      <c r="O9" s="12" t="n">
        <v>400</v>
      </c>
      <c r="P9" s="12" t="n">
        <v>280</v>
      </c>
      <c r="Q9" s="12" t="n">
        <v>60</v>
      </c>
      <c r="R9" s="11" t="n"/>
      <c r="S9" s="13" t="n"/>
      <c r="T9" s="10" t="n">
        <v>0</v>
      </c>
      <c r="U9" s="11" t="n"/>
      <c r="V9" s="11" t="inlineStr">
        <is>
          <t>Out of Stock</t>
        </is>
      </c>
      <c r="W9" s="11" t="n"/>
      <c r="X9" s="11" t="n"/>
      <c r="Y9" s="10" t="n">
        <v>15</v>
      </c>
      <c r="Z9" s="10" t="n">
        <v>15</v>
      </c>
      <c r="AA9" s="14">
        <f>IF(AND(N(Y9)&gt;0,N(Z9)&gt;0),ROUND(43560/(Y9*Z9),0),"")</f>
        <v/>
      </c>
      <c r="AB9" s="10" t="inlineStr">
        <is>
          <t>15ft x 15ft</t>
        </is>
      </c>
      <c r="AC9" s="10" t="inlineStr">
        <is>
          <t>Full sun</t>
        </is>
      </c>
      <c r="AD9" s="11" t="n"/>
      <c r="AE9" s="10" t="inlineStr">
        <is>
          <t>20°C to 35°C</t>
        </is>
      </c>
      <c r="AF9" s="10" t="inlineStr">
        <is>
          <t>20ft to 30ft tall</t>
        </is>
      </c>
      <c r="AG9" s="10" t="inlineStr">
        <is>
          <t>12 years</t>
        </is>
      </c>
      <c r="AH9" s="10" t="inlineStr">
        <is>
          <t>5 to 8 kilograms of heartwood.</t>
        </is>
      </c>
      <c r="AI9" s="10" t="n"/>
      <c r="AJ9" s="10" t="n"/>
      <c r="AK9" s="11" t="n"/>
      <c r="AL9" s="11" t="n"/>
      <c r="AM9" s="11" t="n"/>
      <c r="AN9" s="11" t="n"/>
      <c r="AO9" s="11" t="n"/>
      <c r="AP9" s="11" t="n"/>
      <c r="AQ9" s="11" t="n"/>
      <c r="AR9" s="10" t="inlineStr">
        <is>
          <t>https://hasiruagro.com/wp-content/uploads/2023/07/Agarwood-F.jpg</t>
        </is>
      </c>
      <c r="AS9" s="11" t="n"/>
      <c r="AT9" s="11" t="n"/>
    </row>
    <row r="10">
      <c r="A10" s="10" t="inlineStr">
        <is>
          <t>HA006</t>
        </is>
      </c>
      <c r="B10" s="10" t="inlineStr">
        <is>
          <t>All season Jackfruit</t>
        </is>
      </c>
      <c r="C10" s="11" t="n"/>
      <c r="D10" s="10" t="inlineStr">
        <is>
          <t>Desi Fruits</t>
        </is>
      </c>
      <c r="E10" s="11" t="inlineStr">
        <is>
          <t>Fruiting Trees</t>
        </is>
      </c>
      <c r="F10" s="11" t="inlineStr">
        <is>
          <t>Desi</t>
        </is>
      </c>
      <c r="G10" s="11" t="inlineStr">
        <is>
          <t>Yes</t>
        </is>
      </c>
      <c r="H10" s="11" t="inlineStr">
        <is>
          <t>No</t>
        </is>
      </c>
      <c r="I10" s="10" t="inlineStr">
        <is>
          <t>Grafted</t>
        </is>
      </c>
      <c r="J10" s="11" t="n"/>
      <c r="K10" s="11" t="n"/>
      <c r="L10" s="11" t="n"/>
      <c r="M10" s="11" t="n"/>
      <c r="N10" s="11" t="n"/>
      <c r="O10" s="12" t="n">
        <v>1325</v>
      </c>
      <c r="P10" s="12" t="n">
        <v>530</v>
      </c>
      <c r="Q10" s="12" t="n">
        <v>180</v>
      </c>
      <c r="R10" s="11" t="n"/>
      <c r="S10" s="13" t="n"/>
      <c r="T10" s="10" t="n">
        <v>0</v>
      </c>
      <c r="U10" s="11" t="n"/>
      <c r="V10" s="11" t="inlineStr">
        <is>
          <t>Out of Stock</t>
        </is>
      </c>
      <c r="W10" s="11" t="n"/>
      <c r="X10" s="11" t="n"/>
      <c r="Y10" s="10" t="n">
        <v>20</v>
      </c>
      <c r="Z10" s="10" t="n">
        <v>20</v>
      </c>
      <c r="AA10" s="14">
        <f>IF(AND(N(Y10)&gt;0,N(Z10)&gt;0),ROUND(43560/(Y10*Z10),0),"")</f>
        <v/>
      </c>
      <c r="AB10" s="10" t="inlineStr">
        <is>
          <t>20ft x 20ft</t>
        </is>
      </c>
      <c r="AC10" s="10" t="inlineStr">
        <is>
          <t>Open sun</t>
        </is>
      </c>
      <c r="AD10" s="11" t="n"/>
      <c r="AE10" s="10" t="inlineStr">
        <is>
          <t>20°C to 40 °C</t>
        </is>
      </c>
      <c r="AF10" s="10" t="inlineStr">
        <is>
          <t>Big tree</t>
        </is>
      </c>
      <c r="AG10" s="10" t="inlineStr">
        <is>
          <t>2 years</t>
        </is>
      </c>
      <c r="AH10" s="10" t="inlineStr">
        <is>
          <t>150 to 200 fruits</t>
        </is>
      </c>
      <c r="AI10" s="10" t="inlineStr">
        <is>
          <t>Round the year</t>
        </is>
      </c>
      <c r="AJ10" s="10" t="inlineStr">
        <is>
          <t>Medium to Large</t>
        </is>
      </c>
      <c r="AK10" s="11" t="n"/>
      <c r="AL10" s="11" t="n"/>
      <c r="AM10" s="11" t="n"/>
      <c r="AN10" s="11" t="n"/>
      <c r="AO10" s="11" t="n"/>
      <c r="AP10" s="11" t="n"/>
      <c r="AQ10" s="11" t="n"/>
      <c r="AR10" s="10" t="inlineStr">
        <is>
          <t>https://hasiruagro.com/wp-content/uploads/2023/07/All-season-Jackfruit-fruit-image.webp</t>
        </is>
      </c>
      <c r="AS10" s="11" t="n"/>
      <c r="AT10" s="11" t="n"/>
    </row>
    <row r="11">
      <c r="A11" s="10" t="inlineStr">
        <is>
          <t>HA007</t>
        </is>
      </c>
      <c r="B11" s="10" t="inlineStr">
        <is>
          <t>All Season Lemon</t>
        </is>
      </c>
      <c r="C11" s="11" t="n"/>
      <c r="D11" s="10" t="inlineStr">
        <is>
          <t>Desi Fruits</t>
        </is>
      </c>
      <c r="E11" s="11" t="inlineStr">
        <is>
          <t>Fruiting Trees</t>
        </is>
      </c>
      <c r="F11" s="11" t="inlineStr">
        <is>
          <t>Desi</t>
        </is>
      </c>
      <c r="G11" s="11" t="inlineStr">
        <is>
          <t>Yes</t>
        </is>
      </c>
      <c r="H11" s="11" t="inlineStr">
        <is>
          <t>No</t>
        </is>
      </c>
      <c r="I11" s="10" t="inlineStr">
        <is>
          <t>Grafted</t>
        </is>
      </c>
      <c r="J11" s="11" t="n"/>
      <c r="K11" s="11" t="n"/>
      <c r="L11" s="11" t="n"/>
      <c r="M11" s="11" t="n"/>
      <c r="N11" s="11" t="n"/>
      <c r="O11" s="12" t="n">
        <v>440</v>
      </c>
      <c r="P11" s="12" t="n">
        <v>310</v>
      </c>
      <c r="Q11" s="12" t="n">
        <v>150</v>
      </c>
      <c r="R11" s="11" t="n"/>
      <c r="S11" s="13" t="n"/>
      <c r="T11" s="10" t="n">
        <v>1</v>
      </c>
      <c r="U11" s="11" t="n"/>
      <c r="V11" s="11" t="inlineStr">
        <is>
          <t>Available</t>
        </is>
      </c>
      <c r="W11" s="11" t="n"/>
      <c r="X11" s="11" t="n"/>
      <c r="Y11" s="10" t="n">
        <v>10</v>
      </c>
      <c r="Z11" s="10" t="n">
        <v>10</v>
      </c>
      <c r="AA11" s="14">
        <f>IF(AND(N(Y11)&gt;0,N(Z11)&gt;0),ROUND(43560/(Y11*Z11),0),"")</f>
        <v/>
      </c>
      <c r="AB11" s="10" t="inlineStr">
        <is>
          <t>10ft x 10ft</t>
        </is>
      </c>
      <c r="AC11" s="10" t="inlineStr">
        <is>
          <t>Open sun</t>
        </is>
      </c>
      <c r="AD11" s="11" t="n"/>
      <c r="AE11" s="10" t="inlineStr">
        <is>
          <t>20°C to 40 °C</t>
        </is>
      </c>
      <c r="AF11" s="10" t="inlineStr">
        <is>
          <t>Small tree</t>
        </is>
      </c>
      <c r="AG11" s="10" t="inlineStr">
        <is>
          <t>2 years</t>
        </is>
      </c>
      <c r="AH11" s="10" t="inlineStr">
        <is>
          <t>80Kg to 100Kg</t>
        </is>
      </c>
      <c r="AI11" s="10" t="inlineStr">
        <is>
          <t>Year round</t>
        </is>
      </c>
      <c r="AJ11" s="10" t="inlineStr">
        <is>
          <t>30gms to 50gms</t>
        </is>
      </c>
      <c r="AK11" s="11" t="n"/>
      <c r="AL11" s="11" t="n"/>
      <c r="AM11" s="11" t="n"/>
      <c r="AN11" s="11" t="n"/>
      <c r="AO11" s="11" t="n"/>
      <c r="AP11" s="11" t="n"/>
      <c r="AQ11" s="11" t="n"/>
      <c r="AR11" s="10" t="inlineStr">
        <is>
          <t>https://hasiruagro.com/wp-content/uploads/2023/07/All-Season-Lemon-fruit-fruit-ima.webp</t>
        </is>
      </c>
      <c r="AS11" s="11" t="n"/>
      <c r="AT11" s="11" t="n"/>
    </row>
    <row r="12">
      <c r="A12" s="10" t="inlineStr">
        <is>
          <t>HA008</t>
        </is>
      </c>
      <c r="B12" s="10" t="inlineStr">
        <is>
          <t>All Season Mango</t>
        </is>
      </c>
      <c r="C12" s="11" t="n"/>
      <c r="D12" s="10" t="inlineStr">
        <is>
          <t>Desi Fruits</t>
        </is>
      </c>
      <c r="E12" s="11" t="inlineStr">
        <is>
          <t>Fruiting Trees</t>
        </is>
      </c>
      <c r="F12" s="11" t="inlineStr">
        <is>
          <t>Desi</t>
        </is>
      </c>
      <c r="G12" s="11" t="inlineStr">
        <is>
          <t>Yes</t>
        </is>
      </c>
      <c r="H12" s="11" t="inlineStr">
        <is>
          <t>Yes</t>
        </is>
      </c>
      <c r="I12" s="10" t="inlineStr">
        <is>
          <t>Grafted</t>
        </is>
      </c>
      <c r="J12" s="11" t="n"/>
      <c r="K12" s="11" t="n"/>
      <c r="L12" s="11" t="n"/>
      <c r="M12" s="11" t="n"/>
      <c r="N12" s="11" t="n"/>
      <c r="O12" s="12" t="n">
        <v>700</v>
      </c>
      <c r="P12" s="12" t="n">
        <v>490</v>
      </c>
      <c r="Q12" s="12" t="n">
        <v>220</v>
      </c>
      <c r="R12" s="11" t="n"/>
      <c r="S12" s="13" t="n"/>
      <c r="T12" s="10" t="n">
        <v>0</v>
      </c>
      <c r="U12" s="11" t="n"/>
      <c r="V12" s="11" t="inlineStr">
        <is>
          <t>Out of Stock</t>
        </is>
      </c>
      <c r="W12" s="11" t="n"/>
      <c r="X12" s="11" t="n"/>
      <c r="Y12" s="10" t="n">
        <v>18</v>
      </c>
      <c r="Z12" s="10" t="n">
        <v>18</v>
      </c>
      <c r="AA12" s="14">
        <f>IF(AND(N(Y12)&gt;0,N(Z12)&gt;0),ROUND(43560/(Y12*Z12),0),"")</f>
        <v/>
      </c>
      <c r="AB12" s="10" t="inlineStr">
        <is>
          <t>18ft x 18ft</t>
        </is>
      </c>
      <c r="AC12" s="10" t="inlineStr">
        <is>
          <t>Open sun</t>
        </is>
      </c>
      <c r="AD12" s="11" t="n"/>
      <c r="AE12" s="10" t="inlineStr">
        <is>
          <t>20°C to 40 °C</t>
        </is>
      </c>
      <c r="AF12" s="10" t="inlineStr">
        <is>
          <t>Medium sized tree</t>
        </is>
      </c>
      <c r="AG12" s="10" t="inlineStr">
        <is>
          <t>2 years</t>
        </is>
      </c>
      <c r="AH12" s="10" t="inlineStr">
        <is>
          <t>200 to 250 fruits</t>
        </is>
      </c>
      <c r="AI12" s="10" t="inlineStr">
        <is>
          <t>Year round</t>
        </is>
      </c>
      <c r="AJ12" s="10" t="inlineStr">
        <is>
          <t>100gm to 150gm</t>
        </is>
      </c>
      <c r="AK12" s="11" t="n"/>
      <c r="AL12" s="11" t="n"/>
      <c r="AM12" s="11" t="n"/>
      <c r="AN12" s="11" t="n"/>
      <c r="AO12" s="11" t="n"/>
      <c r="AP12" s="11" t="n"/>
      <c r="AQ12" s="11" t="n"/>
      <c r="AR12" s="10" t="inlineStr">
        <is>
          <t>https://hasiruagro.com/wp-content/uploads/2023/08/All-Season-Mango-Fruit-image-Hasiruagro.jpg</t>
        </is>
      </c>
      <c r="AS12" s="11" t="n"/>
      <c r="AT12" s="11" t="n"/>
    </row>
    <row r="13">
      <c r="A13" s="10" t="inlineStr">
        <is>
          <t>HA009</t>
        </is>
      </c>
      <c r="B13" s="10" t="inlineStr">
        <is>
          <t>All spices</t>
        </is>
      </c>
      <c r="C13" s="11" t="n"/>
      <c r="D13" s="10" t="inlineStr">
        <is>
          <t>Spices</t>
        </is>
      </c>
      <c r="E13" s="11" t="inlineStr">
        <is>
          <t>Other Plants</t>
        </is>
      </c>
      <c r="F13" s="11" t="inlineStr">
        <is>
          <t>Spices</t>
        </is>
      </c>
      <c r="G13" s="11" t="inlineStr">
        <is>
          <t>Yes</t>
        </is>
      </c>
      <c r="H13" s="11" t="inlineStr">
        <is>
          <t>Yes</t>
        </is>
      </c>
      <c r="I13" s="10" t="inlineStr">
        <is>
          <t>Seeded</t>
        </is>
      </c>
      <c r="J13" s="11" t="n"/>
      <c r="K13" s="11" t="n"/>
      <c r="L13" s="11" t="n"/>
      <c r="M13" s="11" t="n"/>
      <c r="N13" s="11" t="n"/>
      <c r="O13" s="12" t="n">
        <v>440</v>
      </c>
      <c r="P13" s="12" t="n">
        <v>310</v>
      </c>
      <c r="Q13" s="12" t="n">
        <v>120</v>
      </c>
      <c r="R13" s="11" t="n"/>
      <c r="S13" s="13" t="n"/>
      <c r="T13" s="10" t="n">
        <v>0</v>
      </c>
      <c r="U13" s="11" t="n"/>
      <c r="V13" s="11" t="inlineStr">
        <is>
          <t>Out of Stock</t>
        </is>
      </c>
      <c r="W13" s="11" t="n"/>
      <c r="X13" s="11" t="n"/>
      <c r="Y13" s="10" t="n"/>
      <c r="Z13" s="10" t="n"/>
      <c r="AA13" s="14">
        <f>IF(AND(N(Y13)&gt;0,N(Z13)&gt;0),ROUND(43560/(Y13*Z13),0),"")</f>
        <v/>
      </c>
      <c r="AB13" s="10" t="inlineStr">
        <is>
          <t>Medium size tree</t>
        </is>
      </c>
      <c r="AC13" s="10" t="inlineStr">
        <is>
          <t>Full sun or Partial shade</t>
        </is>
      </c>
      <c r="AD13" s="11" t="n"/>
      <c r="AE13" s="10" t="inlineStr">
        <is>
          <t>16°C to 35°C</t>
        </is>
      </c>
      <c r="AF13" s="10" t="inlineStr">
        <is>
          <t>Medium size tree</t>
        </is>
      </c>
      <c r="AG13" s="10" t="inlineStr">
        <is>
          <t>3 years</t>
        </is>
      </c>
      <c r="AH13" s="10" t="inlineStr">
        <is>
          <t>20-25 Kg dry berries</t>
        </is>
      </c>
      <c r="AI13" s="10" t="inlineStr">
        <is>
          <t>June to September</t>
        </is>
      </c>
      <c r="AJ13" s="10" t="inlineStr">
        <is>
          <t>1gm to 2gms</t>
        </is>
      </c>
      <c r="AK13" s="11" t="n"/>
      <c r="AL13" s="11" t="n"/>
      <c r="AM13" s="11" t="n"/>
      <c r="AN13" s="11" t="n"/>
      <c r="AO13" s="11" t="n"/>
      <c r="AP13" s="11" t="n"/>
      <c r="AQ13" s="11" t="n"/>
      <c r="AR13" s="10" t="inlineStr">
        <is>
          <t>https://hasiruagro.com/wp-content/uploads/2023/07/All-Spices-F.jpg</t>
        </is>
      </c>
      <c r="AS13" s="11" t="n"/>
      <c r="AT13" s="11" t="n"/>
    </row>
    <row r="14">
      <c r="A14" s="10" t="inlineStr">
        <is>
          <t>HA0010</t>
        </is>
      </c>
      <c r="B14" s="10" t="inlineStr">
        <is>
          <t>Allahabad Safeda Guava</t>
        </is>
      </c>
      <c r="C14" s="11" t="n"/>
      <c r="D14" s="10" t="inlineStr">
        <is>
          <t>Desi Fruits</t>
        </is>
      </c>
      <c r="E14" s="11" t="inlineStr">
        <is>
          <t>Fruiting Trees</t>
        </is>
      </c>
      <c r="F14" s="11" t="inlineStr">
        <is>
          <t>Desi</t>
        </is>
      </c>
      <c r="G14" s="11" t="inlineStr">
        <is>
          <t>Yes</t>
        </is>
      </c>
      <c r="H14" s="11" t="inlineStr">
        <is>
          <t>No</t>
        </is>
      </c>
      <c r="I14" s="10" t="inlineStr">
        <is>
          <t>Air layered</t>
        </is>
      </c>
      <c r="J14" s="11" t="n"/>
      <c r="K14" s="11" t="n"/>
      <c r="L14" s="11" t="n"/>
      <c r="M14" s="11" t="n"/>
      <c r="N14" s="11" t="n"/>
      <c r="O14" s="12" t="n">
        <v>400</v>
      </c>
      <c r="P14" s="12" t="n">
        <v>280</v>
      </c>
      <c r="Q14" s="12" t="n">
        <v>100</v>
      </c>
      <c r="R14" s="11" t="n"/>
      <c r="S14" s="13" t="n"/>
      <c r="T14" s="10" t="n">
        <v>0</v>
      </c>
      <c r="U14" s="11" t="n"/>
      <c r="V14" s="11" t="inlineStr">
        <is>
          <t>Out of Stock</t>
        </is>
      </c>
      <c r="W14" s="11" t="n"/>
      <c r="X14" s="11" t="n"/>
      <c r="Y14" s="10" t="n">
        <v>18</v>
      </c>
      <c r="Z14" s="10" t="n">
        <v>18</v>
      </c>
      <c r="AA14" s="14">
        <f>IF(AND(N(Y14)&gt;0,N(Z14)&gt;0),ROUND(43560/(Y14*Z14),0),"")</f>
        <v/>
      </c>
      <c r="AB14" s="10" t="inlineStr">
        <is>
          <t>18ft x 18ft</t>
        </is>
      </c>
      <c r="AC14" s="10" t="inlineStr">
        <is>
          <t>Full sun</t>
        </is>
      </c>
      <c r="AD14" s="11" t="n"/>
      <c r="AE14" s="10" t="inlineStr">
        <is>
          <t>20°C to 40 °C</t>
        </is>
      </c>
      <c r="AF14" s="10" t="inlineStr">
        <is>
          <t>Medium sized tree</t>
        </is>
      </c>
      <c r="AG14" s="10" t="inlineStr">
        <is>
          <t>2 years</t>
        </is>
      </c>
      <c r="AH14" s="10" t="inlineStr">
        <is>
          <t>30Kg to 70kg</t>
        </is>
      </c>
      <c r="AI14" s="10" t="inlineStr">
        <is>
          <t>Round the year</t>
        </is>
      </c>
      <c r="AJ14" s="10" t="inlineStr">
        <is>
          <t>150gms to 200gms</t>
        </is>
      </c>
      <c r="AK14" s="11" t="n"/>
      <c r="AL14" s="11" t="n"/>
      <c r="AM14" s="11" t="n"/>
      <c r="AN14" s="11" t="n"/>
      <c r="AO14" s="11" t="n"/>
      <c r="AP14" s="11" t="n"/>
      <c r="AQ14" s="11" t="n"/>
      <c r="AR14" s="10" t="inlineStr">
        <is>
          <t>https://hasiruagro.com/wp-content/uploads/2023/08/allahabad-safeda-guava-fruit-fruit-image-Hasiruagro.jpg</t>
        </is>
      </c>
      <c r="AS14" s="11" t="n"/>
      <c r="AT14" s="11" t="n"/>
    </row>
    <row r="15">
      <c r="A15" s="10" t="inlineStr">
        <is>
          <t>HA0011</t>
        </is>
      </c>
      <c r="B15" s="10" t="inlineStr">
        <is>
          <t>Alphonoso Mango</t>
        </is>
      </c>
      <c r="C15" s="11" t="n"/>
      <c r="D15" s="10" t="inlineStr">
        <is>
          <t>Desi Fruits</t>
        </is>
      </c>
      <c r="E15" s="11" t="inlineStr">
        <is>
          <t>Fruiting Trees</t>
        </is>
      </c>
      <c r="F15" s="11" t="inlineStr">
        <is>
          <t>Desi</t>
        </is>
      </c>
      <c r="G15" s="11" t="inlineStr">
        <is>
          <t>Yes</t>
        </is>
      </c>
      <c r="H15" s="11" t="inlineStr">
        <is>
          <t>Yes</t>
        </is>
      </c>
      <c r="I15" s="10" t="inlineStr">
        <is>
          <t>Grafted</t>
        </is>
      </c>
      <c r="J15" s="11" t="n"/>
      <c r="K15" s="11" t="n"/>
      <c r="L15" s="11" t="n"/>
      <c r="M15" s="11" t="n"/>
      <c r="N15" s="11" t="n"/>
      <c r="O15" s="12" t="n">
        <v>700</v>
      </c>
      <c r="P15" s="12" t="n">
        <v>490</v>
      </c>
      <c r="Q15" s="12" t="n">
        <v>350</v>
      </c>
      <c r="R15" s="11" t="n"/>
      <c r="S15" s="13" t="n"/>
      <c r="T15" s="10" t="n">
        <v>168</v>
      </c>
      <c r="U15" s="11" t="n"/>
      <c r="V15" s="11" t="inlineStr">
        <is>
          <t>Available</t>
        </is>
      </c>
      <c r="W15" s="11" t="n"/>
      <c r="X15" s="11" t="n"/>
      <c r="Y15" s="10" t="n">
        <v>18</v>
      </c>
      <c r="Z15" s="10" t="n">
        <v>18</v>
      </c>
      <c r="AA15" s="14">
        <f>IF(AND(N(Y15)&gt;0,N(Z15)&gt;0),ROUND(43560/(Y15*Z15),0),"")</f>
        <v/>
      </c>
      <c r="AB15" s="10" t="inlineStr">
        <is>
          <t>18ft x 18ft</t>
        </is>
      </c>
      <c r="AC15" s="10" t="inlineStr">
        <is>
          <t>Open sun</t>
        </is>
      </c>
      <c r="AD15" s="11" t="n"/>
      <c r="AE15" s="10" t="inlineStr">
        <is>
          <t>20°C to 40 °C</t>
        </is>
      </c>
      <c r="AF15" s="10" t="inlineStr">
        <is>
          <t>Medium sized tree</t>
        </is>
      </c>
      <c r="AG15" s="10" t="inlineStr">
        <is>
          <t>2 years</t>
        </is>
      </c>
      <c r="AH15" s="10" t="inlineStr">
        <is>
          <t>300 to 500 fruits</t>
        </is>
      </c>
      <c r="AI15" s="10" t="inlineStr">
        <is>
          <t>April to August</t>
        </is>
      </c>
      <c r="AJ15" s="10" t="inlineStr">
        <is>
          <t>200gm to 250gm</t>
        </is>
      </c>
      <c r="AK15" s="11" t="n"/>
      <c r="AL15" s="11" t="n"/>
      <c r="AM15" s="11" t="n"/>
      <c r="AN15" s="11" t="n"/>
      <c r="AO15" s="11" t="n"/>
      <c r="AP15" s="11" t="n"/>
      <c r="AQ15" s="11" t="n"/>
      <c r="AR15" s="10" t="inlineStr">
        <is>
          <t>https://hasiruagro.com/wp-content/uploads/2023/08/Alphonso-Mango-S.jpg</t>
        </is>
      </c>
      <c r="AS15" s="11" t="n"/>
      <c r="AT15" s="11" t="n"/>
    </row>
    <row r="16">
      <c r="A16" s="10" t="inlineStr">
        <is>
          <t>HA0012</t>
        </is>
      </c>
      <c r="B16" s="10" t="inlineStr">
        <is>
          <t>American Red Palmar mango</t>
        </is>
      </c>
      <c r="C16" s="11" t="n"/>
      <c r="D16" s="10" t="inlineStr">
        <is>
          <t>Exotic fruits</t>
        </is>
      </c>
      <c r="E16" s="11" t="inlineStr">
        <is>
          <t>Fruiting Trees</t>
        </is>
      </c>
      <c r="F16" s="11" t="inlineStr">
        <is>
          <t>Exotic</t>
        </is>
      </c>
      <c r="G16" s="11" t="inlineStr">
        <is>
          <t>Yes</t>
        </is>
      </c>
      <c r="H16" s="11" t="inlineStr">
        <is>
          <t>Yes</t>
        </is>
      </c>
      <c r="I16" s="10" t="inlineStr">
        <is>
          <t>Grafted</t>
        </is>
      </c>
      <c r="J16" s="11" t="n"/>
      <c r="K16" s="11" t="n"/>
      <c r="L16" s="11" t="n"/>
      <c r="M16" s="11" t="n"/>
      <c r="N16" s="11" t="n"/>
      <c r="O16" s="12" t="n">
        <v>700</v>
      </c>
      <c r="P16" s="12" t="n">
        <v>490</v>
      </c>
      <c r="Q16" s="12" t="n">
        <v>250</v>
      </c>
      <c r="R16" s="11" t="n"/>
      <c r="S16" s="13" t="n"/>
      <c r="T16" s="10" t="n">
        <v>0</v>
      </c>
      <c r="U16" s="11" t="n"/>
      <c r="V16" s="11" t="inlineStr">
        <is>
          <t>Out of Stock</t>
        </is>
      </c>
      <c r="W16" s="11" t="n"/>
      <c r="X16" s="11" t="n"/>
      <c r="Y16" s="10" t="n"/>
      <c r="Z16" s="10" t="n"/>
      <c r="AA16" s="14">
        <f>IF(AND(N(Y16)&gt;0,N(Z16)&gt;0),ROUND(43560/(Y16*Z16),0),"")</f>
        <v/>
      </c>
      <c r="AB16" s="10" t="n"/>
      <c r="AC16" s="10" t="inlineStr">
        <is>
          <t>Full sun</t>
        </is>
      </c>
      <c r="AD16" s="11" t="n"/>
      <c r="AE16" s="10" t="inlineStr">
        <is>
          <t>20°C to 40 °C</t>
        </is>
      </c>
      <c r="AF16" s="10" t="inlineStr">
        <is>
          <t>Medium to big tree</t>
        </is>
      </c>
      <c r="AG16" s="10" t="inlineStr">
        <is>
          <t>2 years</t>
        </is>
      </c>
      <c r="AH16" s="10" t="inlineStr">
        <is>
          <t>80Kgs to 100Kgs per tree</t>
        </is>
      </c>
      <c r="AI16" s="10" t="inlineStr">
        <is>
          <t>March to June</t>
        </is>
      </c>
      <c r="AJ16" s="10" t="inlineStr">
        <is>
          <t>150gms to 200gms</t>
        </is>
      </c>
      <c r="AK16" s="11" t="n"/>
      <c r="AL16" s="11" t="n"/>
      <c r="AM16" s="11" t="n"/>
      <c r="AN16" s="11" t="n"/>
      <c r="AO16" s="11" t="n"/>
      <c r="AP16" s="11" t="n"/>
      <c r="AQ16" s="11" t="n"/>
      <c r="AR16" s="10" t="inlineStr">
        <is>
          <t>https://hasiruagro.com/wp-content/uploads/2023/08/American-Red-Palmar-1.jpg</t>
        </is>
      </c>
      <c r="AS16" s="11" t="n"/>
      <c r="AT16" s="11" t="n"/>
    </row>
    <row r="17">
      <c r="A17" s="10" t="inlineStr">
        <is>
          <t>HA0013</t>
        </is>
      </c>
      <c r="B17" s="10" t="inlineStr">
        <is>
          <t>Amla (Grafted)</t>
        </is>
      </c>
      <c r="C17" s="11" t="n"/>
      <c r="D17" s="10" t="inlineStr">
        <is>
          <t>Desi Fruits</t>
        </is>
      </c>
      <c r="E17" s="11" t="inlineStr">
        <is>
          <t>Fruiting Trees</t>
        </is>
      </c>
      <c r="F17" s="11" t="inlineStr">
        <is>
          <t>Desi</t>
        </is>
      </c>
      <c r="G17" s="11" t="inlineStr">
        <is>
          <t>Yes</t>
        </is>
      </c>
      <c r="H17" s="11" t="inlineStr">
        <is>
          <t>No</t>
        </is>
      </c>
      <c r="I17" s="10" t="inlineStr">
        <is>
          <t>Grafted</t>
        </is>
      </c>
      <c r="J17" s="11" t="n"/>
      <c r="K17" s="11" t="n"/>
      <c r="L17" s="11" t="n"/>
      <c r="M17" s="11" t="n"/>
      <c r="N17" s="11" t="n"/>
      <c r="O17" s="12" t="n">
        <v>900</v>
      </c>
      <c r="P17" s="12" t="n">
        <v>630</v>
      </c>
      <c r="Q17" s="12" t="n">
        <v>250</v>
      </c>
      <c r="R17" s="11" t="n"/>
      <c r="S17" s="13" t="n"/>
      <c r="T17" s="10" t="n">
        <v>0</v>
      </c>
      <c r="U17" s="11" t="n"/>
      <c r="V17" s="11" t="inlineStr">
        <is>
          <t>Out of Stock</t>
        </is>
      </c>
      <c r="W17" s="11" t="n"/>
      <c r="X17" s="11" t="n"/>
      <c r="Y17" s="10" t="n">
        <v>20</v>
      </c>
      <c r="Z17" s="10" t="n">
        <v>20</v>
      </c>
      <c r="AA17" s="14">
        <f>IF(AND(N(Y17)&gt;0,N(Z17)&gt;0),ROUND(43560/(Y17*Z17),0),"")</f>
        <v/>
      </c>
      <c r="AB17" s="10" t="inlineStr">
        <is>
          <t>20ft x 20ft</t>
        </is>
      </c>
      <c r="AC17" s="10" t="inlineStr">
        <is>
          <t>Open sun</t>
        </is>
      </c>
      <c r="AD17" s="11" t="n"/>
      <c r="AE17" s="10" t="inlineStr">
        <is>
          <t>20°C to 40 °C</t>
        </is>
      </c>
      <c r="AF17" s="10" t="inlineStr">
        <is>
          <t>Big tree</t>
        </is>
      </c>
      <c r="AG17" s="10" t="inlineStr">
        <is>
          <t>5 yeras</t>
        </is>
      </c>
      <c r="AH17" s="10" t="inlineStr">
        <is>
          <t>50Kg to 70Kg</t>
        </is>
      </c>
      <c r="AI17" s="10" t="inlineStr">
        <is>
          <t>September to December</t>
        </is>
      </c>
      <c r="AJ17" s="10" t="inlineStr">
        <is>
          <t>60gm to 70gm</t>
        </is>
      </c>
      <c r="AK17" s="11" t="n"/>
      <c r="AL17" s="11" t="n"/>
      <c r="AM17" s="11" t="n"/>
      <c r="AN17" s="11" t="n"/>
      <c r="AO17" s="11" t="n"/>
      <c r="AP17" s="11" t="n"/>
      <c r="AQ17" s="11" t="n"/>
      <c r="AR17" s="10" t="inlineStr">
        <is>
          <t>https://hasiruagro.com/wp-content/uploads/2023/08/Amla-Grafted-fruit-image-Hasiruagro.jpg</t>
        </is>
      </c>
      <c r="AS17" s="11" t="n"/>
      <c r="AT17" s="11" t="n"/>
    </row>
    <row r="18">
      <c r="A18" s="10" t="inlineStr">
        <is>
          <t>HA0014</t>
        </is>
      </c>
      <c r="B18" s="10" t="inlineStr">
        <is>
          <t>Amla (Seeded)</t>
        </is>
      </c>
      <c r="C18" s="11" t="n"/>
      <c r="D18" s="10" t="inlineStr">
        <is>
          <t>Desi Fruits</t>
        </is>
      </c>
      <c r="E18" s="11" t="inlineStr">
        <is>
          <t>Fruiting Trees</t>
        </is>
      </c>
      <c r="F18" s="11" t="inlineStr">
        <is>
          <t>Desi</t>
        </is>
      </c>
      <c r="G18" s="11" t="inlineStr">
        <is>
          <t>Yes</t>
        </is>
      </c>
      <c r="H18" s="11" t="inlineStr">
        <is>
          <t>No</t>
        </is>
      </c>
      <c r="I18" s="10" t="inlineStr">
        <is>
          <t>Seeded</t>
        </is>
      </c>
      <c r="J18" s="11" t="n"/>
      <c r="K18" s="11" t="n"/>
      <c r="L18" s="11" t="n"/>
      <c r="M18" s="11" t="n"/>
      <c r="N18" s="11" t="n"/>
      <c r="O18" s="12" t="n">
        <v>700</v>
      </c>
      <c r="P18" s="12" t="n">
        <v>490</v>
      </c>
      <c r="Q18" s="12" t="n">
        <v>100</v>
      </c>
      <c r="R18" s="11" t="n"/>
      <c r="S18" s="13" t="n"/>
      <c r="T18" s="10" t="n">
        <v>6</v>
      </c>
      <c r="U18" s="11" t="n"/>
      <c r="V18" s="11" t="inlineStr">
        <is>
          <t>Available</t>
        </is>
      </c>
      <c r="W18" s="11" t="n"/>
      <c r="X18" s="11" t="n"/>
      <c r="Y18" s="10" t="n">
        <v>20</v>
      </c>
      <c r="Z18" s="10" t="n">
        <v>20</v>
      </c>
      <c r="AA18" s="14">
        <f>IF(AND(N(Y18)&gt;0,N(Z18)&gt;0),ROUND(43560/(Y18*Z18),0),"")</f>
        <v/>
      </c>
      <c r="AB18" s="10" t="inlineStr">
        <is>
          <t>20ft x 20ft</t>
        </is>
      </c>
      <c r="AC18" s="10" t="inlineStr">
        <is>
          <t>Open sun</t>
        </is>
      </c>
      <c r="AD18" s="11" t="n"/>
      <c r="AE18" s="10" t="inlineStr">
        <is>
          <t>20°C to 40 °C</t>
        </is>
      </c>
      <c r="AF18" s="10" t="inlineStr">
        <is>
          <t>Big tree</t>
        </is>
      </c>
      <c r="AG18" s="10" t="inlineStr">
        <is>
          <t>5 yeras</t>
        </is>
      </c>
      <c r="AH18" s="10" t="inlineStr">
        <is>
          <t>50Kg to 70Kg</t>
        </is>
      </c>
      <c r="AI18" s="10" t="inlineStr">
        <is>
          <t>September to December</t>
        </is>
      </c>
      <c r="AJ18" s="10" t="inlineStr">
        <is>
          <t>60gm to 70gm</t>
        </is>
      </c>
      <c r="AK18" s="11" t="n"/>
      <c r="AL18" s="11" t="n"/>
      <c r="AM18" s="11" t="n"/>
      <c r="AN18" s="11" t="n"/>
      <c r="AO18" s="11" t="n"/>
      <c r="AP18" s="11" t="n"/>
      <c r="AQ18" s="11" t="n"/>
      <c r="AR18" s="10" t="inlineStr">
        <is>
          <t>https://hasiruagro.com/wp-content/uploads/2023/07/Amla-F.jpg</t>
        </is>
      </c>
      <c r="AS18" s="11" t="n"/>
      <c r="AT18" s="11" t="n"/>
    </row>
    <row r="19">
      <c r="A19" s="10" t="inlineStr">
        <is>
          <t>HA0015</t>
        </is>
      </c>
      <c r="B19" s="10" t="inlineStr">
        <is>
          <t>Amrapali Mango</t>
        </is>
      </c>
      <c r="C19" s="11" t="n"/>
      <c r="D19" s="10" t="inlineStr">
        <is>
          <t>Desi Fruits</t>
        </is>
      </c>
      <c r="E19" s="11" t="inlineStr">
        <is>
          <t>Fruiting Trees</t>
        </is>
      </c>
      <c r="F19" s="11" t="inlineStr">
        <is>
          <t>Desi</t>
        </is>
      </c>
      <c r="G19" s="11" t="inlineStr">
        <is>
          <t>Yes</t>
        </is>
      </c>
      <c r="H19" s="11" t="inlineStr">
        <is>
          <t>No</t>
        </is>
      </c>
      <c r="I19" s="10" t="inlineStr">
        <is>
          <t>Grafted</t>
        </is>
      </c>
      <c r="J19" s="11" t="n"/>
      <c r="K19" s="11" t="n"/>
      <c r="L19" s="11" t="n"/>
      <c r="M19" s="11" t="n"/>
      <c r="N19" s="11" t="n"/>
      <c r="O19" s="12" t="n">
        <v>540</v>
      </c>
      <c r="P19" s="12" t="n">
        <v>380</v>
      </c>
      <c r="Q19" s="12" t="n">
        <v>200</v>
      </c>
      <c r="R19" s="11" t="n"/>
      <c r="S19" s="13" t="n"/>
      <c r="T19" s="10" t="n">
        <v>0</v>
      </c>
      <c r="U19" s="11" t="n"/>
      <c r="V19" s="11" t="inlineStr">
        <is>
          <t>Out of Stock</t>
        </is>
      </c>
      <c r="W19" s="11" t="n"/>
      <c r="X19" s="11" t="n"/>
      <c r="Y19" s="10" t="n">
        <v>18</v>
      </c>
      <c r="Z19" s="10" t="n">
        <v>18</v>
      </c>
      <c r="AA19" s="14">
        <f>IF(AND(N(Y19)&gt;0,N(Z19)&gt;0),ROUND(43560/(Y19*Z19),0),"")</f>
        <v/>
      </c>
      <c r="AB19" s="10" t="inlineStr">
        <is>
          <t>18ft x 18ft</t>
        </is>
      </c>
      <c r="AC19" s="10" t="inlineStr">
        <is>
          <t>Open sun</t>
        </is>
      </c>
      <c r="AD19" s="11" t="n"/>
      <c r="AE19" s="10" t="inlineStr">
        <is>
          <t>20°C to 40 °C</t>
        </is>
      </c>
      <c r="AF19" s="10" t="inlineStr">
        <is>
          <t>Medium sized tree</t>
        </is>
      </c>
      <c r="AG19" s="10" t="inlineStr">
        <is>
          <t>2 years</t>
        </is>
      </c>
      <c r="AH19" s="10" t="inlineStr">
        <is>
          <t>200 to 250 fruits</t>
        </is>
      </c>
      <c r="AI19" s="10" t="inlineStr">
        <is>
          <t>Year round</t>
        </is>
      </c>
      <c r="AJ19" s="10" t="inlineStr">
        <is>
          <t>100gm to 150gm</t>
        </is>
      </c>
      <c r="AK19" s="11" t="n"/>
      <c r="AL19" s="11" t="n"/>
      <c r="AM19" s="11" t="n"/>
      <c r="AN19" s="11" t="n"/>
      <c r="AO19" s="11" t="n"/>
      <c r="AP19" s="11" t="n"/>
      <c r="AQ19" s="11" t="n"/>
      <c r="AR19" s="10" t="inlineStr">
        <is>
          <t>https://hasiruagro.com/wp-content/uploads/2023/08/Amrapali-MangoFruit-image-Hasiruagro.jpg</t>
        </is>
      </c>
      <c r="AS19" s="11" t="n"/>
      <c r="AT19" s="11" t="n"/>
    </row>
    <row r="20">
      <c r="A20" s="10" t="inlineStr">
        <is>
          <t>HA0016</t>
        </is>
      </c>
      <c r="B20" s="10" t="inlineStr">
        <is>
          <t>Diana Anjeer Fig Plants</t>
        </is>
      </c>
      <c r="C20" s="11" t="n"/>
      <c r="D20" s="10" t="inlineStr">
        <is>
          <t>Exotic fruits</t>
        </is>
      </c>
      <c r="E20" s="11" t="inlineStr">
        <is>
          <t>Fruiting Trees</t>
        </is>
      </c>
      <c r="F20" s="11" t="inlineStr">
        <is>
          <t>Exotic</t>
        </is>
      </c>
      <c r="G20" s="11" t="inlineStr">
        <is>
          <t>Yes</t>
        </is>
      </c>
      <c r="H20" s="11" t="inlineStr">
        <is>
          <t>No</t>
        </is>
      </c>
      <c r="I20" s="10" t="inlineStr">
        <is>
          <t>Grafted</t>
        </is>
      </c>
      <c r="J20" s="11" t="n"/>
      <c r="K20" s="11" t="n"/>
      <c r="L20" s="11" t="n"/>
      <c r="M20" s="11" t="n"/>
      <c r="N20" s="11" t="n"/>
      <c r="O20" s="12" t="n">
        <v>500</v>
      </c>
      <c r="P20" s="12" t="n">
        <v>350</v>
      </c>
      <c r="Q20" s="12" t="n">
        <v>150</v>
      </c>
      <c r="R20" s="11" t="n"/>
      <c r="S20" s="13" t="n"/>
      <c r="T20" s="10" t="n">
        <v>0</v>
      </c>
      <c r="U20" s="11" t="n"/>
      <c r="V20" s="11" t="inlineStr">
        <is>
          <t>Out of Stock</t>
        </is>
      </c>
      <c r="W20" s="11" t="n"/>
      <c r="X20" s="11" t="n"/>
      <c r="Y20" s="10" t="n"/>
      <c r="Z20" s="10" t="n"/>
      <c r="AA20" s="14">
        <f>IF(AND(N(Y20)&gt;0,N(Z20)&gt;0),ROUND(43560/(Y20*Z20),0),"")</f>
        <v/>
      </c>
      <c r="AB20" s="10" t="n"/>
      <c r="AC20" s="10" t="inlineStr">
        <is>
          <t>Full sun</t>
        </is>
      </c>
      <c r="AD20" s="11" t="n"/>
      <c r="AE20" s="10" t="inlineStr">
        <is>
          <t>20°C to 40 °C</t>
        </is>
      </c>
      <c r="AF20" s="10" t="inlineStr">
        <is>
          <t>Medium to big tree</t>
        </is>
      </c>
      <c r="AG20" s="10" t="inlineStr">
        <is>
          <t>2 years</t>
        </is>
      </c>
      <c r="AH20" s="10" t="inlineStr">
        <is>
          <t>180 to 360 fruits per tree</t>
        </is>
      </c>
      <c r="AI20" s="10" t="inlineStr">
        <is>
          <t>Febraury to August</t>
        </is>
      </c>
      <c r="AJ20" s="10" t="inlineStr">
        <is>
          <t>50gms to 70gms</t>
        </is>
      </c>
      <c r="AK20" s="11" t="n"/>
      <c r="AL20" s="11" t="n"/>
      <c r="AM20" s="11" t="n"/>
      <c r="AN20" s="11" t="n"/>
      <c r="AO20" s="11" t="n"/>
      <c r="AP20" s="11" t="n"/>
      <c r="AQ20" s="11" t="n"/>
      <c r="AR20" s="10" t="inlineStr">
        <is>
          <t>https://hasiruagro.com/wp-content/uploads/2024/03/Diana-Anjeer-Fig-Plants-Hasiruagro.jpg</t>
        </is>
      </c>
      <c r="AS20" s="11" t="n"/>
      <c r="AT20" s="11" t="n"/>
    </row>
    <row r="21">
      <c r="A21" s="10" t="inlineStr">
        <is>
          <t>HA0017</t>
        </is>
      </c>
      <c r="B21" s="10" t="inlineStr">
        <is>
          <t>Appe midi Mango</t>
        </is>
      </c>
      <c r="C21" s="11" t="n"/>
      <c r="D21" s="10" t="inlineStr">
        <is>
          <t>Desi Fruits</t>
        </is>
      </c>
      <c r="E21" s="11" t="inlineStr">
        <is>
          <t>Fruiting Trees</t>
        </is>
      </c>
      <c r="F21" s="11" t="inlineStr">
        <is>
          <t>Desi</t>
        </is>
      </c>
      <c r="G21" s="11" t="inlineStr">
        <is>
          <t>Yes</t>
        </is>
      </c>
      <c r="H21" s="11" t="inlineStr">
        <is>
          <t>No</t>
        </is>
      </c>
      <c r="I21" s="10" t="inlineStr">
        <is>
          <t>Grafted</t>
        </is>
      </c>
      <c r="J21" s="11" t="n"/>
      <c r="K21" s="11" t="n"/>
      <c r="L21" s="11" t="n"/>
      <c r="M21" s="11" t="n"/>
      <c r="N21" s="11" t="n"/>
      <c r="O21" s="12" t="n">
        <v>660</v>
      </c>
      <c r="P21" s="12" t="n">
        <v>460</v>
      </c>
      <c r="Q21" s="12" t="n">
        <v>250</v>
      </c>
      <c r="R21" s="11" t="n"/>
      <c r="S21" s="13" t="n"/>
      <c r="T21" s="10" t="n">
        <v>0</v>
      </c>
      <c r="U21" s="11" t="n"/>
      <c r="V21" s="11" t="inlineStr">
        <is>
          <t>Out of Stock</t>
        </is>
      </c>
      <c r="W21" s="11" t="n"/>
      <c r="X21" s="11" t="n"/>
      <c r="Y21" s="10" t="n">
        <v>18</v>
      </c>
      <c r="Z21" s="10" t="n">
        <v>18</v>
      </c>
      <c r="AA21" s="14">
        <f>IF(AND(N(Y21)&gt;0,N(Z21)&gt;0),ROUND(43560/(Y21*Z21),0),"")</f>
        <v/>
      </c>
      <c r="AB21" s="10" t="inlineStr">
        <is>
          <t>18ft x 18ft</t>
        </is>
      </c>
      <c r="AC21" s="10" t="inlineStr">
        <is>
          <t>Open sun</t>
        </is>
      </c>
      <c r="AD21" s="11" t="n"/>
      <c r="AE21" s="10" t="inlineStr">
        <is>
          <t>20°C to 40 °C</t>
        </is>
      </c>
      <c r="AF21" s="10" t="inlineStr">
        <is>
          <t>Medium sized tree</t>
        </is>
      </c>
      <c r="AG21" s="10" t="inlineStr">
        <is>
          <t>2 years</t>
        </is>
      </c>
      <c r="AH21" s="10" t="inlineStr">
        <is>
          <t>300 to 500 fruits</t>
        </is>
      </c>
      <c r="AI21" s="10" t="inlineStr">
        <is>
          <t>April to August</t>
        </is>
      </c>
      <c r="AJ21" s="10" t="inlineStr">
        <is>
          <t>50gm to 100gm</t>
        </is>
      </c>
      <c r="AK21" s="11" t="n"/>
      <c r="AL21" s="11" t="n"/>
      <c r="AM21" s="11" t="n"/>
      <c r="AN21" s="11" t="n"/>
      <c r="AO21" s="11" t="n"/>
      <c r="AP21" s="11" t="n"/>
      <c r="AQ21" s="11" t="n"/>
      <c r="AR21" s="10" t="inlineStr">
        <is>
          <t>https://hasiruagro.com/wp-content/uploads/2023/08/Appe-Midi-Mango-F.jpg</t>
        </is>
      </c>
      <c r="AS21" s="11" t="n"/>
      <c r="AT21" s="11" t="n"/>
    </row>
    <row r="22">
      <c r="A22" s="10" t="inlineStr">
        <is>
          <t>HA0018</t>
        </is>
      </c>
      <c r="B22" s="10" t="inlineStr">
        <is>
          <t>Apple Ana</t>
        </is>
      </c>
      <c r="C22" s="11" t="n"/>
      <c r="D22" s="10" t="inlineStr">
        <is>
          <t>Desi Fruits</t>
        </is>
      </c>
      <c r="E22" s="11" t="inlineStr">
        <is>
          <t>Fruiting Trees</t>
        </is>
      </c>
      <c r="F22" s="11" t="inlineStr">
        <is>
          <t>Desi</t>
        </is>
      </c>
      <c r="G22" s="11" t="inlineStr">
        <is>
          <t>Yes</t>
        </is>
      </c>
      <c r="H22" s="11" t="inlineStr">
        <is>
          <t>No</t>
        </is>
      </c>
      <c r="I22" s="10" t="inlineStr">
        <is>
          <t>Grafted</t>
        </is>
      </c>
      <c r="J22" s="11" t="n"/>
      <c r="K22" s="11" t="n"/>
      <c r="L22" s="11" t="n"/>
      <c r="M22" s="11" t="n"/>
      <c r="N22" s="11" t="n"/>
      <c r="O22" s="12" t="n">
        <v>560</v>
      </c>
      <c r="P22" s="12" t="n">
        <v>390</v>
      </c>
      <c r="Q22" s="12" t="n">
        <v>180</v>
      </c>
      <c r="R22" s="11" t="n"/>
      <c r="S22" s="13" t="n"/>
      <c r="T22" s="10" t="n">
        <v>0</v>
      </c>
      <c r="U22" s="11" t="n"/>
      <c r="V22" s="11" t="inlineStr">
        <is>
          <t>Out of Stock</t>
        </is>
      </c>
      <c r="W22" s="11" t="n"/>
      <c r="X22" s="11" t="n"/>
      <c r="Y22" s="10" t="n">
        <v>15</v>
      </c>
      <c r="Z22" s="10" t="n">
        <v>15</v>
      </c>
      <c r="AA22" s="14">
        <f>IF(AND(N(Y22)&gt;0,N(Z22)&gt;0),ROUND(43560/(Y22*Z22),0),"")</f>
        <v/>
      </c>
      <c r="AB22" s="10" t="inlineStr">
        <is>
          <t>15ft x 15ft</t>
        </is>
      </c>
      <c r="AC22" s="10" t="inlineStr">
        <is>
          <t>Full sun</t>
        </is>
      </c>
      <c r="AD22" s="11" t="n"/>
      <c r="AE22" s="10" t="inlineStr">
        <is>
          <t>20°C to 30 °C</t>
        </is>
      </c>
      <c r="AF22" s="10" t="inlineStr">
        <is>
          <t>Medium sized tree</t>
        </is>
      </c>
      <c r="AG22" s="10" t="inlineStr">
        <is>
          <t>3 years</t>
        </is>
      </c>
      <c r="AH22" s="10" t="inlineStr">
        <is>
          <t>50Kg to 80Kg</t>
        </is>
      </c>
      <c r="AI22" s="10" t="inlineStr">
        <is>
          <t>April to July</t>
        </is>
      </c>
      <c r="AJ22" s="10" t="inlineStr">
        <is>
          <t>80gms to 120gms</t>
        </is>
      </c>
      <c r="AK22" s="11" t="n"/>
      <c r="AL22" s="11" t="n"/>
      <c r="AM22" s="11" t="n"/>
      <c r="AN22" s="11" t="n"/>
      <c r="AO22" s="11" t="n"/>
      <c r="AP22" s="11" t="n"/>
      <c r="AQ22" s="11" t="n"/>
      <c r="AR22" s="10" t="inlineStr">
        <is>
          <t>https://hasiruagro.com/wp-content/uploads/2023/08/Apple-AnaFruit-image-Hasiruagro.jpg</t>
        </is>
      </c>
      <c r="AS22" s="11" t="n"/>
      <c r="AT22" s="11" t="n"/>
    </row>
    <row r="23">
      <c r="A23" s="10" t="inlineStr">
        <is>
          <t>HA0019</t>
        </is>
      </c>
      <c r="B23" s="10" t="inlineStr">
        <is>
          <t>Apple Ber Ball sundari</t>
        </is>
      </c>
      <c r="C23" s="11" t="n"/>
      <c r="D23" s="10" t="inlineStr">
        <is>
          <t>Exotic fruits</t>
        </is>
      </c>
      <c r="E23" s="11" t="inlineStr">
        <is>
          <t>Fruiting Trees</t>
        </is>
      </c>
      <c r="F23" s="11" t="inlineStr">
        <is>
          <t>Exotic</t>
        </is>
      </c>
      <c r="G23" s="11" t="inlineStr">
        <is>
          <t>Yes</t>
        </is>
      </c>
      <c r="H23" s="11" t="inlineStr">
        <is>
          <t>No</t>
        </is>
      </c>
      <c r="I23" s="10" t="inlineStr">
        <is>
          <t>Seeded</t>
        </is>
      </c>
      <c r="J23" s="11" t="n"/>
      <c r="K23" s="11" t="n"/>
      <c r="L23" s="11" t="n"/>
      <c r="M23" s="11" t="n"/>
      <c r="N23" s="11" t="n"/>
      <c r="O23" s="12" t="n">
        <v>280</v>
      </c>
      <c r="P23" s="12" t="n">
        <v>195</v>
      </c>
      <c r="Q23" s="12" t="n">
        <v>60</v>
      </c>
      <c r="R23" s="11" t="n"/>
      <c r="S23" s="13" t="n"/>
      <c r="T23" s="10" t="n">
        <v>47</v>
      </c>
      <c r="U23" s="11" t="n"/>
      <c r="V23" s="11" t="inlineStr">
        <is>
          <t>Available</t>
        </is>
      </c>
      <c r="W23" s="11" t="n"/>
      <c r="X23" s="11" t="n"/>
      <c r="Y23" s="10" t="n"/>
      <c r="Z23" s="10" t="n"/>
      <c r="AA23" s="14">
        <f>IF(AND(N(Y23)&gt;0,N(Z23)&gt;0),ROUND(43560/(Y23*Z23),0),"")</f>
        <v/>
      </c>
      <c r="AB23" s="10" t="n"/>
      <c r="AC23" s="10" t="inlineStr">
        <is>
          <t>Full sun</t>
        </is>
      </c>
      <c r="AD23" s="11" t="n"/>
      <c r="AE23" s="10" t="inlineStr">
        <is>
          <t>20°C to 40 °C</t>
        </is>
      </c>
      <c r="AF23" s="10" t="inlineStr">
        <is>
          <t>Small Tree</t>
        </is>
      </c>
      <c r="AG23" s="10" t="inlineStr">
        <is>
          <t>3 years</t>
        </is>
      </c>
      <c r="AH23" s="10" t="inlineStr">
        <is>
          <t>50Kgs to 70Kgs per tree</t>
        </is>
      </c>
      <c r="AI23" s="10" t="inlineStr">
        <is>
          <t>Alternative seasons</t>
        </is>
      </c>
      <c r="AJ23" s="10" t="inlineStr">
        <is>
          <t>50gms to 70gms</t>
        </is>
      </c>
      <c r="AK23" s="11" t="n"/>
      <c r="AL23" s="11" t="n"/>
      <c r="AM23" s="11" t="n"/>
      <c r="AN23" s="11" t="n"/>
      <c r="AO23" s="11" t="n"/>
      <c r="AP23" s="11" t="n"/>
      <c r="AQ23" s="11" t="n"/>
      <c r="AR23" s="10" t="inlineStr">
        <is>
          <t>https://hasiruagro.com/wp-content/uploads/2023/08/Apple-Ber-Ball-sundariPlant-with-Fruit-image-Hasiruagro.jpg</t>
        </is>
      </c>
      <c r="AS23" s="11" t="n"/>
      <c r="AT23" s="11" t="n"/>
    </row>
    <row r="24">
      <c r="A24" s="10" t="inlineStr">
        <is>
          <t>HA0020</t>
        </is>
      </c>
      <c r="B24" s="10" t="inlineStr">
        <is>
          <t>Apple Ber Kashmiri</t>
        </is>
      </c>
      <c r="C24" s="11" t="n"/>
      <c r="D24" s="10" t="inlineStr">
        <is>
          <t>Exotic fruits</t>
        </is>
      </c>
      <c r="E24" s="11" t="inlineStr">
        <is>
          <t>Fruiting Trees</t>
        </is>
      </c>
      <c r="F24" s="11" t="inlineStr">
        <is>
          <t>Exotic</t>
        </is>
      </c>
      <c r="G24" s="11" t="inlineStr">
        <is>
          <t>Yes</t>
        </is>
      </c>
      <c r="H24" s="11" t="inlineStr">
        <is>
          <t>No</t>
        </is>
      </c>
      <c r="I24" s="10" t="inlineStr">
        <is>
          <t>Seeded</t>
        </is>
      </c>
      <c r="J24" s="11" t="n"/>
      <c r="K24" s="11" t="n"/>
      <c r="L24" s="11" t="n"/>
      <c r="M24" s="11" t="n"/>
      <c r="N24" s="11" t="n"/>
      <c r="O24" s="12" t="n">
        <v>280</v>
      </c>
      <c r="P24" s="12" t="n">
        <v>195</v>
      </c>
      <c r="Q24" s="12" t="n">
        <v>60</v>
      </c>
      <c r="R24" s="11" t="n"/>
      <c r="S24" s="13" t="n"/>
      <c r="T24" s="10" t="n">
        <v>47</v>
      </c>
      <c r="U24" s="11" t="n"/>
      <c r="V24" s="11" t="inlineStr">
        <is>
          <t>Available</t>
        </is>
      </c>
      <c r="W24" s="11" t="n"/>
      <c r="X24" s="11" t="n"/>
      <c r="Y24" s="10" t="n"/>
      <c r="Z24" s="10" t="n"/>
      <c r="AA24" s="14">
        <f>IF(AND(N(Y24)&gt;0,N(Z24)&gt;0),ROUND(43560/(Y24*Z24),0),"")</f>
        <v/>
      </c>
      <c r="AB24" s="10" t="n"/>
      <c r="AC24" s="10" t="inlineStr">
        <is>
          <t>Full sun</t>
        </is>
      </c>
      <c r="AD24" s="11" t="n"/>
      <c r="AE24" s="10" t="inlineStr">
        <is>
          <t>20°C to 40 °C</t>
        </is>
      </c>
      <c r="AF24" s="10" t="inlineStr">
        <is>
          <t>Small Tree</t>
        </is>
      </c>
      <c r="AG24" s="10" t="inlineStr">
        <is>
          <t>3 years</t>
        </is>
      </c>
      <c r="AH24" s="10" t="inlineStr">
        <is>
          <t>50Kgs to 70Kgs per tree</t>
        </is>
      </c>
      <c r="AI24" s="10" t="inlineStr">
        <is>
          <t>Alternative seasons</t>
        </is>
      </c>
      <c r="AJ24" s="10" t="inlineStr">
        <is>
          <t>50gms to 70gms</t>
        </is>
      </c>
      <c r="AK24" s="11" t="n"/>
      <c r="AL24" s="11" t="n"/>
      <c r="AM24" s="11" t="n"/>
      <c r="AN24" s="11" t="n"/>
      <c r="AO24" s="11" t="n"/>
      <c r="AP24" s="11" t="n"/>
      <c r="AQ24" s="11" t="n"/>
      <c r="AR24" s="10" t="inlineStr">
        <is>
          <t>https://hasiruagro.com/wp-content/uploads/2023/08/Apple-Ber-KashmiriPlant-with-Fruit-image-Hasiruagro.jpg</t>
        </is>
      </c>
      <c r="AS24" s="11" t="n"/>
      <c r="AT24" s="11" t="n"/>
    </row>
    <row r="25">
      <c r="A25" s="10" t="inlineStr">
        <is>
          <t>HA0021</t>
        </is>
      </c>
      <c r="B25" s="10" t="inlineStr">
        <is>
          <t>Apple Dorset</t>
        </is>
      </c>
      <c r="C25" s="11" t="n"/>
      <c r="D25" s="10" t="inlineStr">
        <is>
          <t>Desi Fruits</t>
        </is>
      </c>
      <c r="E25" s="11" t="inlineStr">
        <is>
          <t>Fruiting Trees</t>
        </is>
      </c>
      <c r="F25" s="11" t="inlineStr">
        <is>
          <t>Desi</t>
        </is>
      </c>
      <c r="G25" s="11" t="inlineStr">
        <is>
          <t>Yes</t>
        </is>
      </c>
      <c r="H25" s="11" t="inlineStr">
        <is>
          <t>No</t>
        </is>
      </c>
      <c r="I25" s="10" t="inlineStr">
        <is>
          <t>Grafted</t>
        </is>
      </c>
      <c r="J25" s="11" t="n"/>
      <c r="K25" s="11" t="n"/>
      <c r="L25" s="11" t="n"/>
      <c r="M25" s="11" t="n"/>
      <c r="N25" s="11" t="n"/>
      <c r="O25" s="12" t="n">
        <v>560</v>
      </c>
      <c r="P25" s="12" t="n">
        <v>390</v>
      </c>
      <c r="Q25" s="12" t="n">
        <v>180</v>
      </c>
      <c r="R25" s="11" t="n"/>
      <c r="S25" s="13" t="n"/>
      <c r="T25" s="10" t="n">
        <v>0</v>
      </c>
      <c r="U25" s="11" t="n"/>
      <c r="V25" s="11" t="inlineStr">
        <is>
          <t>Out of Stock</t>
        </is>
      </c>
      <c r="W25" s="11" t="n"/>
      <c r="X25" s="11" t="n"/>
      <c r="Y25" s="10" t="n">
        <v>15</v>
      </c>
      <c r="Z25" s="10" t="n">
        <v>15</v>
      </c>
      <c r="AA25" s="14">
        <f>IF(AND(N(Y25)&gt;0,N(Z25)&gt;0),ROUND(43560/(Y25*Z25),0),"")</f>
        <v/>
      </c>
      <c r="AB25" s="10" t="inlineStr">
        <is>
          <t>15ft x 15ft</t>
        </is>
      </c>
      <c r="AC25" s="10" t="inlineStr">
        <is>
          <t>Full sun</t>
        </is>
      </c>
      <c r="AD25" s="11" t="n"/>
      <c r="AE25" s="10" t="inlineStr">
        <is>
          <t>18°C to 35 °C</t>
        </is>
      </c>
      <c r="AF25" s="10" t="inlineStr">
        <is>
          <t>Medium sized tree</t>
        </is>
      </c>
      <c r="AG25" s="10" t="inlineStr">
        <is>
          <t>3 years</t>
        </is>
      </c>
      <c r="AH25" s="10" t="inlineStr">
        <is>
          <t>50Kg to 80Kg</t>
        </is>
      </c>
      <c r="AI25" s="10" t="inlineStr">
        <is>
          <t>April to July</t>
        </is>
      </c>
      <c r="AJ25" s="10" t="inlineStr">
        <is>
          <t>80gms to 120gms</t>
        </is>
      </c>
      <c r="AK25" s="11" t="n"/>
      <c r="AL25" s="11" t="n"/>
      <c r="AM25" s="11" t="n"/>
      <c r="AN25" s="11" t="n"/>
      <c r="AO25" s="11" t="n"/>
      <c r="AP25" s="11" t="n"/>
      <c r="AQ25" s="11" t="n"/>
      <c r="AR25" s="10" t="inlineStr">
        <is>
          <t>https://hasiruagro.com/wp-content/uploads/2023/08/Apple-DorsetFruit-image-Hasiruagro.jpg</t>
        </is>
      </c>
      <c r="AS25" s="11" t="n"/>
      <c r="AT25" s="11" t="n"/>
    </row>
    <row r="26">
      <c r="A26" s="10" t="inlineStr">
        <is>
          <t>HA0022</t>
        </is>
      </c>
      <c r="B26" s="10" t="inlineStr">
        <is>
          <t>Apple Hariman-99</t>
        </is>
      </c>
      <c r="C26" s="11" t="n"/>
      <c r="D26" s="10" t="inlineStr">
        <is>
          <t>Desi Fruits</t>
        </is>
      </c>
      <c r="E26" s="11" t="inlineStr">
        <is>
          <t>Fruiting Trees</t>
        </is>
      </c>
      <c r="F26" s="11" t="inlineStr">
        <is>
          <t>Desi</t>
        </is>
      </c>
      <c r="G26" s="11" t="inlineStr">
        <is>
          <t>Yes</t>
        </is>
      </c>
      <c r="H26" s="11" t="inlineStr">
        <is>
          <t>No</t>
        </is>
      </c>
      <c r="I26" s="10" t="inlineStr">
        <is>
          <t>Grafted</t>
        </is>
      </c>
      <c r="J26" s="11" t="n"/>
      <c r="K26" s="11" t="n"/>
      <c r="L26" s="11" t="n"/>
      <c r="M26" s="11" t="n"/>
      <c r="N26" s="11" t="n"/>
      <c r="O26" s="12" t="n">
        <v>600</v>
      </c>
      <c r="P26" s="12" t="n">
        <v>420</v>
      </c>
      <c r="Q26" s="12" t="n">
        <v>450</v>
      </c>
      <c r="R26" s="11" t="n"/>
      <c r="S26" s="13" t="n"/>
      <c r="T26" s="10" t="n">
        <v>0</v>
      </c>
      <c r="U26" s="11" t="n"/>
      <c r="V26" s="11" t="inlineStr">
        <is>
          <t>Out of Stock</t>
        </is>
      </c>
      <c r="W26" s="11" t="n"/>
      <c r="X26" s="11" t="n"/>
      <c r="Y26" s="10" t="n">
        <v>15</v>
      </c>
      <c r="Z26" s="10" t="n">
        <v>15</v>
      </c>
      <c r="AA26" s="14">
        <f>IF(AND(N(Y26)&gt;0,N(Z26)&gt;0),ROUND(43560/(Y26*Z26),0),"")</f>
        <v/>
      </c>
      <c r="AB26" s="10" t="inlineStr">
        <is>
          <t>15ft x 15ft</t>
        </is>
      </c>
      <c r="AC26" s="10" t="inlineStr">
        <is>
          <t>Full sun</t>
        </is>
      </c>
      <c r="AD26" s="11" t="n"/>
      <c r="AE26" s="10" t="inlineStr">
        <is>
          <t>20°C to 35 °C</t>
        </is>
      </c>
      <c r="AF26" s="10" t="inlineStr">
        <is>
          <t>Medium sized tree</t>
        </is>
      </c>
      <c r="AG26" s="10" t="inlineStr">
        <is>
          <t>3 years</t>
        </is>
      </c>
      <c r="AH26" s="10" t="inlineStr">
        <is>
          <t>50Kg to 100Kg</t>
        </is>
      </c>
      <c r="AI26" s="10" t="inlineStr">
        <is>
          <t>April to July</t>
        </is>
      </c>
      <c r="AJ26" s="10" t="inlineStr">
        <is>
          <t>80gms to 120gms</t>
        </is>
      </c>
      <c r="AK26" s="11" t="n"/>
      <c r="AL26" s="11" t="n"/>
      <c r="AM26" s="11" t="n"/>
      <c r="AN26" s="11" t="n"/>
      <c r="AO26" s="11" t="n"/>
      <c r="AP26" s="11" t="n"/>
      <c r="AQ26" s="11" t="n"/>
      <c r="AR26" s="10" t="inlineStr">
        <is>
          <t>https://hasiruagro.com/wp-content/uploads/2023/08/Hariman-Apple-F.jpg</t>
        </is>
      </c>
      <c r="AS26" s="11" t="n"/>
      <c r="AT26" s="11" t="n"/>
    </row>
    <row r="27">
      <c r="A27" s="10" t="inlineStr">
        <is>
          <t>HA0023</t>
        </is>
      </c>
      <c r="B27" s="10" t="inlineStr">
        <is>
          <t>Apple litchi</t>
        </is>
      </c>
      <c r="C27" s="11" t="n"/>
      <c r="D27" s="10" t="inlineStr">
        <is>
          <t>Desi Fruits</t>
        </is>
      </c>
      <c r="E27" s="11" t="inlineStr">
        <is>
          <t>Fruiting Trees</t>
        </is>
      </c>
      <c r="F27" s="11" t="inlineStr">
        <is>
          <t>Desi</t>
        </is>
      </c>
      <c r="G27" s="11" t="inlineStr">
        <is>
          <t>Yes</t>
        </is>
      </c>
      <c r="H27" s="11" t="inlineStr">
        <is>
          <t>No</t>
        </is>
      </c>
      <c r="I27" s="10" t="inlineStr">
        <is>
          <t>Grafted</t>
        </is>
      </c>
      <c r="J27" s="11" t="n"/>
      <c r="K27" s="11" t="n"/>
      <c r="L27" s="11" t="n"/>
      <c r="M27" s="11" t="n"/>
      <c r="N27" s="11" t="n"/>
      <c r="O27" s="12" t="n">
        <v>600</v>
      </c>
      <c r="P27" s="12" t="n">
        <v>420</v>
      </c>
      <c r="Q27" s="12" t="n">
        <v>200</v>
      </c>
      <c r="R27" s="11" t="n"/>
      <c r="S27" s="13" t="n"/>
      <c r="T27" s="10" t="n">
        <v>0</v>
      </c>
      <c r="U27" s="11" t="n"/>
      <c r="V27" s="11" t="inlineStr">
        <is>
          <t>Out of Stock</t>
        </is>
      </c>
      <c r="W27" s="11" t="n"/>
      <c r="X27" s="11" t="n"/>
      <c r="Y27" s="10" t="n">
        <v>25</v>
      </c>
      <c r="Z27" s="10" t="n">
        <v>25</v>
      </c>
      <c r="AA27" s="14">
        <f>IF(AND(N(Y27)&gt;0,N(Z27)&gt;0),ROUND(43560/(Y27*Z27),0),"")</f>
        <v/>
      </c>
      <c r="AB27" s="10" t="inlineStr">
        <is>
          <t>25ft x 25ft</t>
        </is>
      </c>
      <c r="AC27" s="10" t="inlineStr">
        <is>
          <t>Full sun</t>
        </is>
      </c>
      <c r="AD27" s="11" t="n"/>
      <c r="AE27" s="10" t="inlineStr">
        <is>
          <t>15°C to 38°C</t>
        </is>
      </c>
      <c r="AF27" s="10" t="inlineStr">
        <is>
          <t>Medium sized tree</t>
        </is>
      </c>
      <c r="AG27" s="10" t="inlineStr">
        <is>
          <t>3 years</t>
        </is>
      </c>
      <c r="AH27" s="10" t="inlineStr">
        <is>
          <t>80Kg to 150Kg</t>
        </is>
      </c>
      <c r="AI27" s="10" t="inlineStr">
        <is>
          <t>April to July</t>
        </is>
      </c>
      <c r="AJ27" s="10" t="inlineStr">
        <is>
          <t>50gms to 70gms</t>
        </is>
      </c>
      <c r="AK27" s="11" t="n"/>
      <c r="AL27" s="11" t="n"/>
      <c r="AM27" s="11" t="n"/>
      <c r="AN27" s="11" t="n"/>
      <c r="AO27" s="11" t="n"/>
      <c r="AP27" s="11" t="n"/>
      <c r="AQ27" s="11" t="n"/>
      <c r="AR27" s="10" t="inlineStr">
        <is>
          <t>https://hasiruagro.com/wp-content/uploads/2023/08/Apple-litchiFruit-image-Hasiruagro.jpg</t>
        </is>
      </c>
      <c r="AS27" s="11" t="n"/>
      <c r="AT27" s="11" t="n"/>
    </row>
    <row r="28">
      <c r="A28" s="10" t="inlineStr">
        <is>
          <t>HA0024</t>
        </is>
      </c>
      <c r="B28" s="10" t="inlineStr">
        <is>
          <t>Apricot</t>
        </is>
      </c>
      <c r="C28" s="11" t="n"/>
      <c r="D28" s="10" t="inlineStr">
        <is>
          <t>Exotic fruits</t>
        </is>
      </c>
      <c r="E28" s="11" t="inlineStr">
        <is>
          <t>Fruiting Trees</t>
        </is>
      </c>
      <c r="F28" s="11" t="inlineStr">
        <is>
          <t>Exotic</t>
        </is>
      </c>
      <c r="G28" s="11" t="inlineStr">
        <is>
          <t>Yes</t>
        </is>
      </c>
      <c r="H28" s="11" t="inlineStr">
        <is>
          <t>No</t>
        </is>
      </c>
      <c r="I28" s="10" t="inlineStr">
        <is>
          <t>Grafted</t>
        </is>
      </c>
      <c r="J28" s="11" t="n"/>
      <c r="K28" s="11" t="n"/>
      <c r="L28" s="11" t="n"/>
      <c r="M28" s="11" t="n"/>
      <c r="N28" s="11" t="n"/>
      <c r="O28" s="12" t="n">
        <v>700</v>
      </c>
      <c r="P28" s="12" t="n">
        <v>490</v>
      </c>
      <c r="Q28" s="12" t="n">
        <v>250</v>
      </c>
      <c r="R28" s="11" t="n"/>
      <c r="S28" s="13" t="n"/>
      <c r="T28" s="10" t="n">
        <v>0</v>
      </c>
      <c r="U28" s="11" t="n"/>
      <c r="V28" s="11" t="inlineStr">
        <is>
          <t>Out of Stock</t>
        </is>
      </c>
      <c r="W28" s="11" t="n"/>
      <c r="X28" s="11" t="n"/>
      <c r="Y28" s="10" t="n"/>
      <c r="Z28" s="10" t="n"/>
      <c r="AA28" s="14">
        <f>IF(AND(N(Y28)&gt;0,N(Z28)&gt;0),ROUND(43560/(Y28*Z28),0),"")</f>
        <v/>
      </c>
      <c r="AB28" s="10" t="n"/>
      <c r="AC28" s="10" t="inlineStr">
        <is>
          <t>Full sun</t>
        </is>
      </c>
      <c r="AD28" s="11" t="n"/>
      <c r="AE28" s="10" t="inlineStr">
        <is>
          <t>16°C to 35 °C</t>
        </is>
      </c>
      <c r="AF28" s="10" t="inlineStr">
        <is>
          <t>Medium to big tree</t>
        </is>
      </c>
      <c r="AG28" s="10" t="inlineStr">
        <is>
          <t>4 years</t>
        </is>
      </c>
      <c r="AH28" s="10" t="inlineStr">
        <is>
          <t>70Kgs to 90Kgs per tree</t>
        </is>
      </c>
      <c r="AI28" s="10" t="inlineStr">
        <is>
          <t>April to August</t>
        </is>
      </c>
      <c r="AJ28" s="10" t="inlineStr">
        <is>
          <t>70gms to 100gms</t>
        </is>
      </c>
      <c r="AK28" s="11" t="n"/>
      <c r="AL28" s="11" t="n"/>
      <c r="AM28" s="11" t="n"/>
      <c r="AN28" s="11" t="n"/>
      <c r="AO28" s="11" t="n"/>
      <c r="AP28" s="11" t="n"/>
      <c r="AQ28" s="11" t="n"/>
      <c r="AR28" s="10" t="inlineStr">
        <is>
          <t>https://hasiruagro.com/wp-content/uploads/2023/08/ApricotPlant-with-Fruit-image-Hasiruagro.jpg</t>
        </is>
      </c>
      <c r="AS28" s="11" t="n"/>
      <c r="AT28" s="11" t="n"/>
    </row>
    <row r="29">
      <c r="A29" s="10" t="inlineStr">
        <is>
          <t>HA0025</t>
        </is>
      </c>
      <c r="B29" s="10" t="inlineStr">
        <is>
          <t>Areca Bukkambudi</t>
        </is>
      </c>
      <c r="C29" s="11" t="n"/>
      <c r="D29" s="10" t="inlineStr">
        <is>
          <t>Plantation</t>
        </is>
      </c>
      <c r="E29" s="11" t="inlineStr">
        <is>
          <t>Other Plants</t>
        </is>
      </c>
      <c r="F29" s="11" t="inlineStr">
        <is>
          <t>Plantation</t>
        </is>
      </c>
      <c r="G29" s="11" t="inlineStr">
        <is>
          <t>Yes</t>
        </is>
      </c>
      <c r="H29" s="11" t="inlineStr">
        <is>
          <t>No</t>
        </is>
      </c>
      <c r="I29" s="10" t="inlineStr">
        <is>
          <t>Seeded</t>
        </is>
      </c>
      <c r="J29" s="11" t="n"/>
      <c r="K29" s="11" t="n"/>
      <c r="L29" s="11" t="n"/>
      <c r="M29" s="11" t="n"/>
      <c r="N29" s="11" t="n"/>
      <c r="O29" s="12" t="n">
        <v>320</v>
      </c>
      <c r="P29" s="12" t="n">
        <v>225</v>
      </c>
      <c r="Q29" s="12" t="n">
        <v>60</v>
      </c>
      <c r="R29" s="11" t="n"/>
      <c r="S29" s="13" t="n"/>
      <c r="T29" s="10" t="n">
        <v>348</v>
      </c>
      <c r="U29" s="11" t="n"/>
      <c r="V29" s="11" t="inlineStr">
        <is>
          <t>Available</t>
        </is>
      </c>
      <c r="W29" s="11" t="n"/>
      <c r="X29" s="11" t="n"/>
      <c r="Y29" s="10" t="n">
        <v>11</v>
      </c>
      <c r="Z29" s="10" t="n">
        <v>11</v>
      </c>
      <c r="AA29" s="14">
        <f>IF(AND(N(Y29)&gt;0,N(Z29)&gt;0),ROUND(43560/(Y29*Z29),0),"")</f>
        <v/>
      </c>
      <c r="AB29" s="10" t="inlineStr">
        <is>
          <t>11ft x 11ft</t>
        </is>
      </c>
      <c r="AC29" s="10" t="inlineStr">
        <is>
          <t>Full sun</t>
        </is>
      </c>
      <c r="AD29" s="11" t="n"/>
      <c r="AE29" s="10" t="inlineStr">
        <is>
          <t>20°C to 35°C</t>
        </is>
      </c>
      <c r="AF29" s="10" t="inlineStr">
        <is>
          <t>40ft to 60ft</t>
        </is>
      </c>
      <c r="AG29" s="10" t="inlineStr">
        <is>
          <t>4 years</t>
        </is>
      </c>
      <c r="AH29" s="10" t="inlineStr">
        <is>
          <t>200 to 400 ripe nuts</t>
        </is>
      </c>
      <c r="AI29" s="10" t="inlineStr">
        <is>
          <t>Alternative seasonsAugust and September in plain land regions and in malnad areas during December and January.</t>
        </is>
      </c>
      <c r="AJ29" s="10" t="n"/>
      <c r="AK29" s="11" t="n"/>
      <c r="AL29" s="11" t="n"/>
      <c r="AM29" s="11" t="n"/>
      <c r="AN29" s="11" t="n"/>
      <c r="AO29" s="11" t="n"/>
      <c r="AP29" s="11" t="n"/>
      <c r="AQ29" s="11" t="n"/>
      <c r="AR29" s="10" t="inlineStr">
        <is>
          <t>https://hasiruagro.com/wp-content/uploads/2023/08/Areca-BukkambudiFruit-image-Hasiruagro.jpg</t>
        </is>
      </c>
      <c r="AS29" s="11" t="n"/>
      <c r="AT29" s="11" t="n"/>
    </row>
    <row r="30">
      <c r="A30" s="10" t="inlineStr">
        <is>
          <t>HA0026</t>
        </is>
      </c>
      <c r="B30" s="10" t="inlineStr">
        <is>
          <t>Areca Tirthalli</t>
        </is>
      </c>
      <c r="C30" s="11" t="n"/>
      <c r="D30" s="10" t="inlineStr">
        <is>
          <t>Plantation</t>
        </is>
      </c>
      <c r="E30" s="11" t="inlineStr">
        <is>
          <t>Other Plants</t>
        </is>
      </c>
      <c r="F30" s="11" t="inlineStr">
        <is>
          <t>Plantation</t>
        </is>
      </c>
      <c r="G30" s="11" t="inlineStr">
        <is>
          <t>Yes</t>
        </is>
      </c>
      <c r="H30" s="11" t="inlineStr">
        <is>
          <t>No</t>
        </is>
      </c>
      <c r="I30" s="10" t="inlineStr">
        <is>
          <t>Seeded</t>
        </is>
      </c>
      <c r="J30" s="11" t="n"/>
      <c r="K30" s="11" t="n"/>
      <c r="L30" s="11" t="n"/>
      <c r="M30" s="11" t="n"/>
      <c r="N30" s="11" t="n"/>
      <c r="O30" s="12" t="n">
        <v>320</v>
      </c>
      <c r="P30" s="12" t="n">
        <v>225</v>
      </c>
      <c r="Q30" s="12" t="n">
        <v>60</v>
      </c>
      <c r="R30" s="11" t="n"/>
      <c r="S30" s="13" t="n"/>
      <c r="T30" s="10" t="n">
        <v>68</v>
      </c>
      <c r="U30" s="11" t="n"/>
      <c r="V30" s="11" t="inlineStr">
        <is>
          <t>Available</t>
        </is>
      </c>
      <c r="W30" s="11" t="n"/>
      <c r="X30" s="11" t="n"/>
      <c r="Y30" s="10" t="n">
        <v>11</v>
      </c>
      <c r="Z30" s="10" t="n">
        <v>11</v>
      </c>
      <c r="AA30" s="14">
        <f>IF(AND(N(Y30)&gt;0,N(Z30)&gt;0),ROUND(43560/(Y30*Z30),0),"")</f>
        <v/>
      </c>
      <c r="AB30" s="10" t="inlineStr">
        <is>
          <t>11ft x 11ft</t>
        </is>
      </c>
      <c r="AC30" s="10" t="inlineStr">
        <is>
          <t>Full sun</t>
        </is>
      </c>
      <c r="AD30" s="11" t="n"/>
      <c r="AE30" s="10" t="inlineStr">
        <is>
          <t>20°C to 35°C</t>
        </is>
      </c>
      <c r="AF30" s="10" t="inlineStr">
        <is>
          <t>40ft to 60ft</t>
        </is>
      </c>
      <c r="AG30" s="10" t="inlineStr">
        <is>
          <t>4 years</t>
        </is>
      </c>
      <c r="AH30" s="10" t="inlineStr">
        <is>
          <t>200 to 400 ripe nuts</t>
        </is>
      </c>
      <c r="AI30" s="10" t="inlineStr">
        <is>
          <t>Alternative seasonsAugust and September in plain land regions and in malnad areas during December and January.</t>
        </is>
      </c>
      <c r="AJ30" s="10" t="n"/>
      <c r="AK30" s="11" t="n"/>
      <c r="AL30" s="11" t="n"/>
      <c r="AM30" s="11" t="n"/>
      <c r="AN30" s="11" t="n"/>
      <c r="AO30" s="11" t="n"/>
      <c r="AP30" s="11" t="n"/>
      <c r="AQ30" s="11" t="n"/>
      <c r="AR30" s="10" t="inlineStr">
        <is>
          <t>https://hasiruagro.com/wp-content/uploads/2023/08/Areca-TirthalliFruit-image-Hasiruagro.jpg</t>
        </is>
      </c>
      <c r="AS30" s="11" t="n"/>
      <c r="AT30" s="11" t="n"/>
    </row>
    <row r="31">
      <c r="A31" s="10" t="inlineStr">
        <is>
          <t>HA0027</t>
        </is>
      </c>
      <c r="B31" s="10" t="inlineStr">
        <is>
          <t>Avocado coorg variety</t>
        </is>
      </c>
      <c r="C31" s="11" t="n"/>
      <c r="D31" s="10" t="inlineStr">
        <is>
          <t>Exotic fruits</t>
        </is>
      </c>
      <c r="E31" s="11" t="inlineStr">
        <is>
          <t>Fruiting Trees</t>
        </is>
      </c>
      <c r="F31" s="11" t="inlineStr">
        <is>
          <t>Exotic</t>
        </is>
      </c>
      <c r="G31" s="11" t="inlineStr">
        <is>
          <t>Yes</t>
        </is>
      </c>
      <c r="H31" s="11" t="inlineStr">
        <is>
          <t>No</t>
        </is>
      </c>
      <c r="I31" s="10" t="inlineStr">
        <is>
          <t>Grafted</t>
        </is>
      </c>
      <c r="J31" s="11" t="n"/>
      <c r="K31" s="11" t="n"/>
      <c r="L31" s="11" t="n"/>
      <c r="M31" s="11" t="n"/>
      <c r="N31" s="11" t="n"/>
      <c r="O31" s="12" t="n">
        <v>875</v>
      </c>
      <c r="P31" s="12" t="n">
        <v>350</v>
      </c>
      <c r="Q31" s="12" t="n">
        <v>150</v>
      </c>
      <c r="R31" s="11" t="n"/>
      <c r="S31" s="13" t="n"/>
      <c r="T31" s="10" t="n">
        <v>0</v>
      </c>
      <c r="U31" s="11" t="n"/>
      <c r="V31" s="11" t="inlineStr">
        <is>
          <t>Out of Stock</t>
        </is>
      </c>
      <c r="W31" s="11" t="n"/>
      <c r="X31" s="11" t="n"/>
      <c r="Y31" s="10" t="n">
        <v>18</v>
      </c>
      <c r="Z31" s="10" t="n">
        <v>18</v>
      </c>
      <c r="AA31" s="14">
        <f>IF(AND(N(Y31)&gt;0,N(Z31)&gt;0),ROUND(43560/(Y31*Z31),0),"")</f>
        <v/>
      </c>
      <c r="AB31" s="10" t="inlineStr">
        <is>
          <t>18ft x 18ft</t>
        </is>
      </c>
      <c r="AC31" s="10" t="inlineStr">
        <is>
          <t>Full sun (Can tolerate partial shade</t>
        </is>
      </c>
      <c r="AD31" s="11" t="n"/>
      <c r="AE31" s="10" t="inlineStr">
        <is>
          <t>16⁰C – 42⁰C</t>
        </is>
      </c>
      <c r="AF31" s="10" t="inlineStr">
        <is>
          <t>Medium to large tree (30ft to 60ft tall)</t>
        </is>
      </c>
      <c r="AG31" s="10" t="inlineStr">
        <is>
          <t>2.5 years after planting</t>
        </is>
      </c>
      <c r="AH31" s="10" t="inlineStr">
        <is>
          <t>30Kgs to 50Kgs</t>
        </is>
      </c>
      <c r="AI31" s="10" t="inlineStr">
        <is>
          <t>June to October</t>
        </is>
      </c>
      <c r="AJ31" s="10" t="inlineStr">
        <is>
          <t>150gms to 250gms</t>
        </is>
      </c>
      <c r="AK31" s="11" t="n"/>
      <c r="AL31" s="11" t="n"/>
      <c r="AM31" s="11" t="n"/>
      <c r="AN31" s="11" t="n"/>
      <c r="AO31" s="11" t="n"/>
      <c r="AP31" s="11" t="n"/>
      <c r="AQ31" s="11" t="n"/>
      <c r="AR31" s="10" t="inlineStr">
        <is>
          <t>https://hasiruagro.com/wp-content/uploads/2023/07/Avocado-coorg-varietyFruit-image-Hasiruagro.webp</t>
        </is>
      </c>
      <c r="AS31" s="11" t="n"/>
      <c r="AT31" s="11" t="n"/>
    </row>
    <row r="32">
      <c r="A32" s="10" t="inlineStr">
        <is>
          <t>HA0028</t>
        </is>
      </c>
      <c r="B32" s="10" t="inlineStr">
        <is>
          <t>Hass Avocado Plant</t>
        </is>
      </c>
      <c r="C32" s="11" t="n"/>
      <c r="D32" s="10" t="inlineStr">
        <is>
          <t>Exotic fruits</t>
        </is>
      </c>
      <c r="E32" s="11" t="inlineStr">
        <is>
          <t>Fruiting Trees</t>
        </is>
      </c>
      <c r="F32" s="11" t="inlineStr">
        <is>
          <t>Exotic</t>
        </is>
      </c>
      <c r="G32" s="11" t="inlineStr">
        <is>
          <t>Yes</t>
        </is>
      </c>
      <c r="H32" s="11" t="inlineStr">
        <is>
          <t>No</t>
        </is>
      </c>
      <c r="I32" s="10" t="inlineStr">
        <is>
          <t>Grafted</t>
        </is>
      </c>
      <c r="J32" s="11" t="n"/>
      <c r="K32" s="11" t="n"/>
      <c r="L32" s="11" t="n"/>
      <c r="M32" s="11" t="n"/>
      <c r="N32" s="11" t="n"/>
      <c r="O32" s="12" t="n">
        <v>2800</v>
      </c>
      <c r="P32" s="12" t="n">
        <v>1120</v>
      </c>
      <c r="Q32" s="12" t="n">
        <v>700</v>
      </c>
      <c r="R32" s="11" t="n"/>
      <c r="S32" s="13" t="n"/>
      <c r="T32" s="10" t="n">
        <v>0</v>
      </c>
      <c r="U32" s="11" t="n"/>
      <c r="V32" s="11" t="inlineStr">
        <is>
          <t>Out of Stock</t>
        </is>
      </c>
      <c r="W32" s="11" t="n"/>
      <c r="X32" s="11" t="n"/>
      <c r="Y32" s="10" t="n">
        <v>18</v>
      </c>
      <c r="Z32" s="10" t="n">
        <v>18</v>
      </c>
      <c r="AA32" s="14">
        <f>IF(AND(N(Y32)&gt;0,N(Z32)&gt;0),ROUND(43560/(Y32*Z32),0),"")</f>
        <v/>
      </c>
      <c r="AB32" s="10" t="inlineStr">
        <is>
          <t>18ft x 18ft</t>
        </is>
      </c>
      <c r="AC32" s="10" t="inlineStr">
        <is>
          <t>Full sun (Can tolerate partial shade</t>
        </is>
      </c>
      <c r="AD32" s="11" t="n"/>
      <c r="AE32" s="10" t="inlineStr">
        <is>
          <t>16⁰C – 35⁰C</t>
        </is>
      </c>
      <c r="AF32" s="10" t="inlineStr">
        <is>
          <t>Medium to large tree (30ft to 60ft tall)</t>
        </is>
      </c>
      <c r="AG32" s="10" t="inlineStr">
        <is>
          <t>2.5 years after planting</t>
        </is>
      </c>
      <c r="AH32" s="10" t="inlineStr">
        <is>
          <t>120 Kgs to160 Kgs</t>
        </is>
      </c>
      <c r="AI32" s="10" t="inlineStr">
        <is>
          <t>June to Otober</t>
        </is>
      </c>
      <c r="AJ32" s="10" t="inlineStr">
        <is>
          <t>150gms to 250gms</t>
        </is>
      </c>
      <c r="AK32" s="11" t="n"/>
      <c r="AL32" s="11" t="n"/>
      <c r="AM32" s="11" t="n"/>
      <c r="AN32" s="11" t="n"/>
      <c r="AO32" s="11" t="n"/>
      <c r="AP32" s="11" t="n"/>
      <c r="AQ32" s="11" t="n"/>
      <c r="AR32" s="10" t="inlineStr">
        <is>
          <t>https://hasiruagro.com/wp-content/uploads/2023/07/avocado-haas-fruit-fruit-image-Hasiruagro.webp</t>
        </is>
      </c>
      <c r="AS32" s="11" t="n"/>
      <c r="AT32" s="11" t="n"/>
    </row>
    <row r="33">
      <c r="A33" s="10" t="inlineStr">
        <is>
          <t>HA0029</t>
        </is>
      </c>
      <c r="B33" s="10" t="inlineStr">
        <is>
          <t>Grafted Mexican Purple Avocado Plant</t>
        </is>
      </c>
      <c r="C33" s="11" t="n"/>
      <c r="D33" s="10" t="inlineStr">
        <is>
          <t>Exotic fruits</t>
        </is>
      </c>
      <c r="E33" s="11" t="inlineStr">
        <is>
          <t>Fruiting Trees</t>
        </is>
      </c>
      <c r="F33" s="11" t="inlineStr">
        <is>
          <t>Exotic</t>
        </is>
      </c>
      <c r="G33" s="11" t="inlineStr">
        <is>
          <t>Yes</t>
        </is>
      </c>
      <c r="H33" s="11" t="inlineStr">
        <is>
          <t>No</t>
        </is>
      </c>
      <c r="I33" s="10" t="inlineStr">
        <is>
          <t>Grafted</t>
        </is>
      </c>
      <c r="J33" s="11" t="n"/>
      <c r="K33" s="11" t="n"/>
      <c r="L33" s="11" t="n"/>
      <c r="M33" s="11" t="n"/>
      <c r="N33" s="11" t="n"/>
      <c r="O33" s="12" t="n">
        <v>1575</v>
      </c>
      <c r="P33" s="12" t="n">
        <v>630</v>
      </c>
      <c r="Q33" s="12" t="n">
        <v>350</v>
      </c>
      <c r="R33" s="11" t="n"/>
      <c r="S33" s="13" t="n"/>
      <c r="T33" s="10" t="n">
        <v>0</v>
      </c>
      <c r="U33" s="11" t="n"/>
      <c r="V33" s="11" t="inlineStr">
        <is>
          <t>Out of Stock</t>
        </is>
      </c>
      <c r="W33" s="11" t="n"/>
      <c r="X33" s="11" t="n"/>
      <c r="Y33" s="10" t="n">
        <v>18</v>
      </c>
      <c r="Z33" s="10" t="n">
        <v>18</v>
      </c>
      <c r="AA33" s="14">
        <f>IF(AND(N(Y33)&gt;0,N(Z33)&gt;0),ROUND(43560/(Y33*Z33),0),"")</f>
        <v/>
      </c>
      <c r="AB33" s="10" t="inlineStr">
        <is>
          <t>18ft x 18ft</t>
        </is>
      </c>
      <c r="AC33" s="10" t="inlineStr">
        <is>
          <t>Full sun (Can tolerate partial shade</t>
        </is>
      </c>
      <c r="AD33" s="11" t="n"/>
      <c r="AE33" s="10" t="inlineStr">
        <is>
          <t>20⁰C – 42⁰C</t>
        </is>
      </c>
      <c r="AF33" s="10" t="inlineStr">
        <is>
          <t>Medium to large tree (30ft to 60ft tall)</t>
        </is>
      </c>
      <c r="AG33" s="10" t="inlineStr">
        <is>
          <t>2.5 years after planting</t>
        </is>
      </c>
      <c r="AH33" s="10" t="inlineStr">
        <is>
          <t>180kgs to 200kgs</t>
        </is>
      </c>
      <c r="AI33" s="10" t="inlineStr">
        <is>
          <t>June to October</t>
        </is>
      </c>
      <c r="AJ33" s="10" t="inlineStr">
        <is>
          <t>200gms to 300gms</t>
        </is>
      </c>
      <c r="AK33" s="11" t="n"/>
      <c r="AL33" s="11" t="n"/>
      <c r="AM33" s="11" t="n"/>
      <c r="AN33" s="11" t="n"/>
      <c r="AO33" s="11" t="n"/>
      <c r="AP33" s="11" t="n"/>
      <c r="AQ33" s="11" t="n"/>
      <c r="AR33" s="10" t="inlineStr">
        <is>
          <t>https://hasiruagro.com/wp-content/uploads/2023/07/Grafted-Mexican-Purple-Avocado-Hasiruagro.webp</t>
        </is>
      </c>
      <c r="AS33" s="11" t="n"/>
      <c r="AT33" s="11" t="n"/>
    </row>
    <row r="34">
      <c r="A34" s="10" t="inlineStr">
        <is>
          <t>HA0030</t>
        </is>
      </c>
      <c r="B34" s="10" t="inlineStr">
        <is>
          <t>Shiny green Avocado</t>
        </is>
      </c>
      <c r="C34" s="11" t="n"/>
      <c r="D34" s="10" t="inlineStr">
        <is>
          <t>Exotic fruits</t>
        </is>
      </c>
      <c r="E34" s="11" t="inlineStr">
        <is>
          <t>Fruiting Trees</t>
        </is>
      </c>
      <c r="F34" s="11" t="inlineStr">
        <is>
          <t>Exotic</t>
        </is>
      </c>
      <c r="G34" s="11" t="inlineStr">
        <is>
          <t>Yes</t>
        </is>
      </c>
      <c r="H34" s="11" t="inlineStr">
        <is>
          <t>No</t>
        </is>
      </c>
      <c r="I34" s="10" t="inlineStr">
        <is>
          <t>Grafted</t>
        </is>
      </c>
      <c r="J34" s="11" t="n"/>
      <c r="K34" s="11" t="n"/>
      <c r="L34" s="11" t="n"/>
      <c r="M34" s="11" t="n"/>
      <c r="N34" s="11" t="n"/>
      <c r="O34" s="12" t="n">
        <v>1575</v>
      </c>
      <c r="P34" s="12" t="n">
        <v>630</v>
      </c>
      <c r="Q34" s="12" t="n">
        <v>350</v>
      </c>
      <c r="R34" s="11" t="n"/>
      <c r="S34" s="13" t="n"/>
      <c r="T34" s="10" t="n">
        <v>0</v>
      </c>
      <c r="U34" s="11" t="n"/>
      <c r="V34" s="11" t="inlineStr">
        <is>
          <t>Out of Stock</t>
        </is>
      </c>
      <c r="W34" s="11" t="n"/>
      <c r="X34" s="11" t="n"/>
      <c r="Y34" s="10" t="n">
        <v>18</v>
      </c>
      <c r="Z34" s="10" t="n">
        <v>18</v>
      </c>
      <c r="AA34" s="14">
        <f>IF(AND(N(Y34)&gt;0,N(Z34)&gt;0),ROUND(43560/(Y34*Z34),0),"")</f>
        <v/>
      </c>
      <c r="AB34" s="10" t="inlineStr">
        <is>
          <t>Spacing: 18ft x 18ft</t>
        </is>
      </c>
      <c r="AC34" s="10" t="inlineStr">
        <is>
          <t>Full sun (Can tolerate partial shade</t>
        </is>
      </c>
      <c r="AD34" s="11" t="n"/>
      <c r="AE34" s="10" t="inlineStr">
        <is>
          <t>16°C to 40°C</t>
        </is>
      </c>
      <c r="AF34" s="10" t="inlineStr">
        <is>
          <t>Growth: Medium to large tree (30ft to 60ft tall)</t>
        </is>
      </c>
      <c r="AG34" s="10" t="inlineStr">
        <is>
          <t>2.5 years after planting</t>
        </is>
      </c>
      <c r="AH34" s="10" t="inlineStr">
        <is>
          <t>180Kgs to 200Kgs</t>
        </is>
      </c>
      <c r="AI34" s="10" t="inlineStr">
        <is>
          <t>Harvesting: June to October</t>
        </is>
      </c>
      <c r="AJ34" s="10" t="inlineStr">
        <is>
          <t>150gms to 250gms</t>
        </is>
      </c>
      <c r="AK34" s="11" t="n"/>
      <c r="AL34" s="11" t="n"/>
      <c r="AM34" s="11" t="n"/>
      <c r="AN34" s="11" t="n"/>
      <c r="AO34" s="11" t="n"/>
      <c r="AP34" s="11" t="n"/>
      <c r="AQ34" s="11" t="n"/>
      <c r="AR34" s="10" t="inlineStr">
        <is>
          <t>https://hasiruagro.com/wp-content/uploads/2023/07/Grafted-Shiny-Green-Avocado-Hasiruagro.webp</t>
        </is>
      </c>
      <c r="AS34" s="11" t="n"/>
      <c r="AT34" s="11" t="n"/>
    </row>
    <row r="35">
      <c r="A35" s="10" t="inlineStr">
        <is>
          <t>HA0031</t>
        </is>
      </c>
      <c r="B35" s="10" t="inlineStr">
        <is>
          <t>Avocado TKD-1</t>
        </is>
      </c>
      <c r="C35" s="11" t="n"/>
      <c r="D35" s="10" t="inlineStr">
        <is>
          <t>Exotic fruits</t>
        </is>
      </c>
      <c r="E35" s="11" t="inlineStr">
        <is>
          <t>Fruiting Trees</t>
        </is>
      </c>
      <c r="F35" s="11" t="inlineStr">
        <is>
          <t>Exotic</t>
        </is>
      </c>
      <c r="G35" s="11" t="inlineStr">
        <is>
          <t>Yes</t>
        </is>
      </c>
      <c r="H35" s="11" t="inlineStr">
        <is>
          <t>No</t>
        </is>
      </c>
      <c r="I35" s="10" t="inlineStr">
        <is>
          <t>Grafted</t>
        </is>
      </c>
      <c r="J35" s="11" t="n"/>
      <c r="K35" s="11" t="n"/>
      <c r="L35" s="11" t="n"/>
      <c r="M35" s="11" t="n"/>
      <c r="N35" s="11" t="n"/>
      <c r="O35" s="12" t="n">
        <v>1575</v>
      </c>
      <c r="P35" s="12" t="n">
        <v>630</v>
      </c>
      <c r="Q35" s="12" t="n">
        <v>350</v>
      </c>
      <c r="R35" s="11" t="n"/>
      <c r="S35" s="13" t="n"/>
      <c r="T35" s="10" t="n">
        <v>0</v>
      </c>
      <c r="U35" s="11" t="n"/>
      <c r="V35" s="11" t="inlineStr">
        <is>
          <t>Out of Stock</t>
        </is>
      </c>
      <c r="W35" s="11" t="n"/>
      <c r="X35" s="11" t="n"/>
      <c r="Y35" s="10" t="n">
        <v>18</v>
      </c>
      <c r="Z35" s="10" t="n">
        <v>18</v>
      </c>
      <c r="AA35" s="14">
        <f>IF(AND(N(Y35)&gt;0,N(Z35)&gt;0),ROUND(43560/(Y35*Z35),0),"")</f>
        <v/>
      </c>
      <c r="AB35" s="10" t="inlineStr">
        <is>
          <t>18ft x 18ft</t>
        </is>
      </c>
      <c r="AC35" s="10" t="inlineStr">
        <is>
          <t>Full sun (Can tolerate partial shade</t>
        </is>
      </c>
      <c r="AD35" s="11" t="n"/>
      <c r="AE35" s="10" t="inlineStr">
        <is>
          <t>16⁰C – 35⁰C</t>
        </is>
      </c>
      <c r="AF35" s="10" t="inlineStr">
        <is>
          <t>Medium to large tree (30ft to 60ft tall)</t>
        </is>
      </c>
      <c r="AG35" s="10" t="inlineStr">
        <is>
          <t>2.5 years after planting</t>
        </is>
      </c>
      <c r="AH35" s="10" t="inlineStr">
        <is>
          <t>250 Kgs to300 Kgs</t>
        </is>
      </c>
      <c r="AI35" s="10" t="inlineStr">
        <is>
          <t>June to Otober</t>
        </is>
      </c>
      <c r="AJ35" s="10" t="inlineStr">
        <is>
          <t>150gms to 250gms</t>
        </is>
      </c>
      <c r="AK35" s="11" t="n"/>
      <c r="AL35" s="11" t="n"/>
      <c r="AM35" s="11" t="n"/>
      <c r="AN35" s="11" t="n"/>
      <c r="AO35" s="11" t="n"/>
      <c r="AP35" s="11" t="n"/>
      <c r="AQ35" s="11" t="n"/>
      <c r="AR35" s="10" t="inlineStr">
        <is>
          <t>https://hasiruagro.com/wp-content/uploads/2023/07/Avocado-TKD-1Fruit-image-Hasiruagro.webp</t>
        </is>
      </c>
      <c r="AS35" s="11" t="n"/>
      <c r="AT35" s="11" t="n"/>
    </row>
    <row r="36">
      <c r="A36" s="10" t="inlineStr">
        <is>
          <t>HA0032</t>
        </is>
      </c>
      <c r="B36" s="10" t="inlineStr">
        <is>
          <t>B-1 Musambi Malta</t>
        </is>
      </c>
      <c r="C36" s="11" t="n"/>
      <c r="D36" s="10" t="inlineStr">
        <is>
          <t>Desi Fruits</t>
        </is>
      </c>
      <c r="E36" s="11" t="inlineStr">
        <is>
          <t>Fruiting Trees</t>
        </is>
      </c>
      <c r="F36" s="11" t="inlineStr">
        <is>
          <t>Desi</t>
        </is>
      </c>
      <c r="G36" s="11" t="inlineStr">
        <is>
          <t>Yes</t>
        </is>
      </c>
      <c r="H36" s="11" t="inlineStr">
        <is>
          <t>No</t>
        </is>
      </c>
      <c r="I36" s="10" t="inlineStr">
        <is>
          <t>Grafted</t>
        </is>
      </c>
      <c r="J36" s="11" t="n"/>
      <c r="K36" s="11" t="n"/>
      <c r="L36" s="11" t="n"/>
      <c r="M36" s="11" t="n"/>
      <c r="N36" s="11" t="n"/>
      <c r="O36" s="12" t="n">
        <v>500</v>
      </c>
      <c r="P36" s="12" t="n">
        <v>350</v>
      </c>
      <c r="Q36" s="12" t="n">
        <v>200</v>
      </c>
      <c r="R36" s="11" t="n"/>
      <c r="S36" s="13" t="n"/>
      <c r="T36" s="10" t="n">
        <v>250</v>
      </c>
      <c r="U36" s="11" t="n"/>
      <c r="V36" s="11" t="inlineStr">
        <is>
          <t>Available</t>
        </is>
      </c>
      <c r="W36" s="11" t="n"/>
      <c r="X36" s="11" t="n"/>
      <c r="Y36" s="10" t="n">
        <v>18</v>
      </c>
      <c r="Z36" s="10" t="n">
        <v>18</v>
      </c>
      <c r="AA36" s="14">
        <f>IF(AND(N(Y36)&gt;0,N(Z36)&gt;0),ROUND(43560/(Y36*Z36),0),"")</f>
        <v/>
      </c>
      <c r="AB36" s="10" t="inlineStr">
        <is>
          <t>18ft x 18ft</t>
        </is>
      </c>
      <c r="AC36" s="10" t="inlineStr">
        <is>
          <t>Open sun</t>
        </is>
      </c>
      <c r="AD36" s="11" t="n"/>
      <c r="AE36" s="10" t="inlineStr">
        <is>
          <t>20°C to 40 °C</t>
        </is>
      </c>
      <c r="AF36" s="10" t="inlineStr">
        <is>
          <t>Medium sized tree</t>
        </is>
      </c>
      <c r="AG36" s="10" t="inlineStr">
        <is>
          <t>2 years</t>
        </is>
      </c>
      <c r="AH36" s="10" t="inlineStr">
        <is>
          <t>60Kg to 100Kg</t>
        </is>
      </c>
      <c r="AI36" s="10" t="inlineStr">
        <is>
          <t>April to MayAugust to September</t>
        </is>
      </c>
      <c r="AJ36" s="10" t="inlineStr">
        <is>
          <t>70 gm to 150gm</t>
        </is>
      </c>
      <c r="AK36" s="11" t="n"/>
      <c r="AL36" s="11" t="n"/>
      <c r="AM36" s="11" t="n"/>
      <c r="AN36" s="11" t="n"/>
      <c r="AO36" s="11" t="n"/>
      <c r="AP36" s="11" t="n"/>
      <c r="AQ36" s="11" t="n"/>
      <c r="AR36" s="10" t="inlineStr">
        <is>
          <t>https://hasiruagro.com/wp-content/uploads/2023/08/B-1-Musambi-MaltaFruit-image-Hasiruagro.jpg</t>
        </is>
      </c>
      <c r="AS36" s="11" t="n"/>
      <c r="AT36" s="11" t="n"/>
    </row>
    <row r="37">
      <c r="A37" s="10" t="inlineStr">
        <is>
          <t>HA0033</t>
        </is>
      </c>
      <c r="B37" s="10" t="inlineStr">
        <is>
          <t>Badami Mango</t>
        </is>
      </c>
      <c r="C37" s="11" t="n"/>
      <c r="D37" s="10" t="inlineStr">
        <is>
          <t>Desi Fruits</t>
        </is>
      </c>
      <c r="E37" s="11" t="inlineStr">
        <is>
          <t>Fruiting Trees</t>
        </is>
      </c>
      <c r="F37" s="11" t="inlineStr">
        <is>
          <t>Desi</t>
        </is>
      </c>
      <c r="G37" s="11" t="inlineStr">
        <is>
          <t>Yes</t>
        </is>
      </c>
      <c r="H37" s="11" t="inlineStr">
        <is>
          <t>No</t>
        </is>
      </c>
      <c r="I37" s="10" t="inlineStr">
        <is>
          <t>Grafted</t>
        </is>
      </c>
      <c r="J37" s="11" t="n"/>
      <c r="K37" s="11" t="n"/>
      <c r="L37" s="11" t="n"/>
      <c r="M37" s="11" t="n"/>
      <c r="N37" s="11" t="n"/>
      <c r="O37" s="12" t="n">
        <v>700</v>
      </c>
      <c r="P37" s="12" t="n">
        <v>490</v>
      </c>
      <c r="Q37" s="12" t="n">
        <v>250</v>
      </c>
      <c r="R37" s="11" t="n"/>
      <c r="S37" s="13" t="n"/>
      <c r="T37" s="10" t="n">
        <v>122</v>
      </c>
      <c r="U37" s="11" t="n"/>
      <c r="V37" s="11" t="inlineStr">
        <is>
          <t>Available</t>
        </is>
      </c>
      <c r="W37" s="11" t="n"/>
      <c r="X37" s="11" t="n"/>
      <c r="Y37" s="10" t="n">
        <v>18</v>
      </c>
      <c r="Z37" s="10" t="n">
        <v>18</v>
      </c>
      <c r="AA37" s="14">
        <f>IF(AND(N(Y37)&gt;0,N(Z37)&gt;0),ROUND(43560/(Y37*Z37),0),"")</f>
        <v/>
      </c>
      <c r="AB37" s="10" t="inlineStr">
        <is>
          <t>18ft x 18ft</t>
        </is>
      </c>
      <c r="AC37" s="10" t="inlineStr">
        <is>
          <t>Open sun</t>
        </is>
      </c>
      <c r="AD37" s="11" t="n"/>
      <c r="AE37" s="10" t="inlineStr">
        <is>
          <t>20°C to 40 °C</t>
        </is>
      </c>
      <c r="AF37" s="10" t="inlineStr">
        <is>
          <t>Medium sized tree</t>
        </is>
      </c>
      <c r="AG37" s="10" t="inlineStr">
        <is>
          <t>2 years</t>
        </is>
      </c>
      <c r="AH37" s="10" t="inlineStr">
        <is>
          <t>300 to 500 fruits</t>
        </is>
      </c>
      <c r="AI37" s="10" t="inlineStr">
        <is>
          <t>April to August</t>
        </is>
      </c>
      <c r="AJ37" s="10" t="inlineStr">
        <is>
          <t>200gm to 250gm</t>
        </is>
      </c>
      <c r="AK37" s="11" t="n"/>
      <c r="AL37" s="11" t="n"/>
      <c r="AM37" s="11" t="n"/>
      <c r="AN37" s="11" t="n"/>
      <c r="AO37" s="11" t="n"/>
      <c r="AP37" s="11" t="n"/>
      <c r="AQ37" s="11" t="n"/>
      <c r="AR37" s="10" t="inlineStr">
        <is>
          <t>https://hasiruagro.com/wp-content/uploads/2023/08/Mango-Badami-Fruit-fruit-image-Hasiruagro.jpg</t>
        </is>
      </c>
      <c r="AS37" s="11" t="n"/>
      <c r="AT37" s="11" t="n"/>
    </row>
    <row r="38">
      <c r="A38" s="10" t="inlineStr">
        <is>
          <t>HA0034</t>
        </is>
      </c>
      <c r="B38" s="10" t="inlineStr">
        <is>
          <t>Banana Sapota</t>
        </is>
      </c>
      <c r="C38" s="11" t="n"/>
      <c r="D38" s="10" t="inlineStr">
        <is>
          <t>Exotic fruits</t>
        </is>
      </c>
      <c r="E38" s="11" t="inlineStr">
        <is>
          <t>Fruiting Trees</t>
        </is>
      </c>
      <c r="F38" s="11" t="inlineStr">
        <is>
          <t>Exotic</t>
        </is>
      </c>
      <c r="G38" s="11" t="inlineStr">
        <is>
          <t>Yes</t>
        </is>
      </c>
      <c r="H38" s="11" t="inlineStr">
        <is>
          <t>No</t>
        </is>
      </c>
      <c r="I38" s="10" t="inlineStr">
        <is>
          <t>Grafted</t>
        </is>
      </c>
      <c r="J38" s="11" t="n"/>
      <c r="K38" s="11" t="n"/>
      <c r="L38" s="11" t="n"/>
      <c r="M38" s="11" t="n"/>
      <c r="N38" s="11" t="n"/>
      <c r="O38" s="12" t="n">
        <v>1400</v>
      </c>
      <c r="P38" s="12" t="n">
        <v>980</v>
      </c>
      <c r="Q38" s="12" t="n">
        <v>200</v>
      </c>
      <c r="R38" s="11" t="n"/>
      <c r="S38" s="13" t="n"/>
      <c r="T38" s="10" t="n">
        <v>0</v>
      </c>
      <c r="U38" s="11" t="n"/>
      <c r="V38" s="11" t="inlineStr">
        <is>
          <t>Out of Stock</t>
        </is>
      </c>
      <c r="W38" s="11" t="n"/>
      <c r="X38" s="11" t="n"/>
      <c r="Y38" s="10" t="n"/>
      <c r="Z38" s="10" t="n"/>
      <c r="AA38" s="14">
        <f>IF(AND(N(Y38)&gt;0,N(Z38)&gt;0),ROUND(43560/(Y38*Z38),0),"")</f>
        <v/>
      </c>
      <c r="AB38" s="10" t="n"/>
      <c r="AC38" s="10" t="inlineStr">
        <is>
          <t>Full sun</t>
        </is>
      </c>
      <c r="AD38" s="11" t="n"/>
      <c r="AE38" s="10" t="inlineStr">
        <is>
          <t>20°C to 40 °C</t>
        </is>
      </c>
      <c r="AF38" s="10" t="inlineStr">
        <is>
          <t>Medium to big tree</t>
        </is>
      </c>
      <c r="AG38" s="10" t="inlineStr">
        <is>
          <t>3 years</t>
        </is>
      </c>
      <c r="AH38" s="10" t="inlineStr">
        <is>
          <t>2500 to 3000 fruits per tree</t>
        </is>
      </c>
      <c r="AI38" s="10" t="inlineStr">
        <is>
          <t>Alternate seasons</t>
        </is>
      </c>
      <c r="AJ38" s="10" t="inlineStr">
        <is>
          <t>150gms to 200gms</t>
        </is>
      </c>
      <c r="AK38" s="11" t="n"/>
      <c r="AL38" s="11" t="n"/>
      <c r="AM38" s="11" t="n"/>
      <c r="AN38" s="11" t="n"/>
      <c r="AO38" s="11" t="n"/>
      <c r="AP38" s="11" t="n"/>
      <c r="AQ38" s="11" t="n"/>
      <c r="AR38" s="10" t="inlineStr">
        <is>
          <t>https://hasiruagro.com/wp-content/uploads/2023/08/banana-sapota-fruit-fruit-image-Hasiruagro.jpg</t>
        </is>
      </c>
      <c r="AS38" s="11" t="n"/>
      <c r="AT38" s="11" t="n"/>
    </row>
    <row r="39">
      <c r="A39" s="10" t="inlineStr">
        <is>
          <t>HA0035</t>
        </is>
      </c>
      <c r="B39" s="10" t="inlineStr">
        <is>
          <t>Bangkok Mango</t>
        </is>
      </c>
      <c r="C39" s="11" t="n"/>
      <c r="D39" s="10" t="inlineStr">
        <is>
          <t>Exotic fruits</t>
        </is>
      </c>
      <c r="E39" s="11" t="inlineStr">
        <is>
          <t>Fruiting Trees</t>
        </is>
      </c>
      <c r="F39" s="11" t="inlineStr">
        <is>
          <t>Exotic</t>
        </is>
      </c>
      <c r="G39" s="11" t="inlineStr">
        <is>
          <t>Yes</t>
        </is>
      </c>
      <c r="H39" s="11" t="inlineStr">
        <is>
          <t>No</t>
        </is>
      </c>
      <c r="I39" s="10" t="inlineStr">
        <is>
          <t>Grafted</t>
        </is>
      </c>
      <c r="J39" s="11" t="n"/>
      <c r="K39" s="11" t="n"/>
      <c r="L39" s="11" t="n"/>
      <c r="M39" s="11" t="n"/>
      <c r="N39" s="11" t="n"/>
      <c r="O39" s="12" t="n">
        <v>800</v>
      </c>
      <c r="P39" s="12" t="n">
        <v>560</v>
      </c>
      <c r="Q39" s="12" t="n">
        <v>200</v>
      </c>
      <c r="R39" s="11" t="n"/>
      <c r="S39" s="13" t="n"/>
      <c r="T39" s="10" t="n">
        <v>0</v>
      </c>
      <c r="U39" s="11" t="n"/>
      <c r="V39" s="11" t="inlineStr">
        <is>
          <t>Out of Stock</t>
        </is>
      </c>
      <c r="W39" s="11" t="n"/>
      <c r="X39" s="11" t="n"/>
      <c r="Y39" s="10" t="n"/>
      <c r="Z39" s="10" t="n"/>
      <c r="AA39" s="14">
        <f>IF(AND(N(Y39)&gt;0,N(Z39)&gt;0),ROUND(43560/(Y39*Z39),0),"")</f>
        <v/>
      </c>
      <c r="AB39" s="10" t="n"/>
      <c r="AC39" s="10" t="inlineStr">
        <is>
          <t>Full sun</t>
        </is>
      </c>
      <c r="AD39" s="11" t="n"/>
      <c r="AE39" s="10" t="inlineStr">
        <is>
          <t>20°C to 35°C</t>
        </is>
      </c>
      <c r="AF39" s="10" t="inlineStr">
        <is>
          <t>Small to medium sized tree</t>
        </is>
      </c>
      <c r="AG39" s="10" t="inlineStr">
        <is>
          <t>3 years</t>
        </is>
      </c>
      <c r="AH39" s="10" t="inlineStr">
        <is>
          <t>100Kgs to 150Kgs per tree</t>
        </is>
      </c>
      <c r="AI39" s="10" t="inlineStr">
        <is>
          <t>March to June</t>
        </is>
      </c>
      <c r="AJ39" s="10" t="inlineStr">
        <is>
          <t>500gm to 700gm</t>
        </is>
      </c>
      <c r="AK39" s="11" t="n"/>
      <c r="AL39" s="11" t="n"/>
      <c r="AM39" s="11" t="n"/>
      <c r="AN39" s="11" t="n"/>
      <c r="AO39" s="11" t="n"/>
      <c r="AP39" s="11" t="n"/>
      <c r="AQ39" s="11" t="n"/>
      <c r="AR39" s="10" t="inlineStr">
        <is>
          <t>https://hasiruagro.com/wp-content/uploads/2023/08/Bangkok-Mango.jpg</t>
        </is>
      </c>
      <c r="AS39" s="11" t="n"/>
      <c r="AT39" s="11" t="n"/>
    </row>
    <row r="40">
      <c r="A40" s="10" t="inlineStr">
        <is>
          <t>HA0036</t>
        </is>
      </c>
      <c r="B40" s="10" t="inlineStr">
        <is>
          <t>Barbados Cherry</t>
        </is>
      </c>
      <c r="C40" s="11" t="n"/>
      <c r="D40" s="10" t="inlineStr">
        <is>
          <t>Exotic fruits</t>
        </is>
      </c>
      <c r="E40" s="11" t="inlineStr">
        <is>
          <t>Fruiting Trees</t>
        </is>
      </c>
      <c r="F40" s="11" t="inlineStr">
        <is>
          <t>Exotic</t>
        </is>
      </c>
      <c r="G40" s="11" t="inlineStr">
        <is>
          <t>Yes</t>
        </is>
      </c>
      <c r="H40" s="11" t="inlineStr">
        <is>
          <t>No</t>
        </is>
      </c>
      <c r="I40" s="10" t="inlineStr">
        <is>
          <t>Seeded</t>
        </is>
      </c>
      <c r="J40" s="11" t="n"/>
      <c r="K40" s="11" t="n"/>
      <c r="L40" s="11" t="n"/>
      <c r="M40" s="11" t="n"/>
      <c r="N40" s="11" t="n"/>
      <c r="O40" s="12" t="n">
        <v>560</v>
      </c>
      <c r="P40" s="12" t="n">
        <v>390</v>
      </c>
      <c r="Q40" s="12" t="n">
        <v>180</v>
      </c>
      <c r="R40" s="11" t="n"/>
      <c r="S40" s="13" t="n"/>
      <c r="T40" s="10" t="n">
        <v>0</v>
      </c>
      <c r="U40" s="11" t="n"/>
      <c r="V40" s="11" t="inlineStr">
        <is>
          <t>Out of Stock</t>
        </is>
      </c>
      <c r="W40" s="11" t="n"/>
      <c r="X40" s="11" t="n"/>
      <c r="Y40" s="10" t="n"/>
      <c r="Z40" s="10" t="n"/>
      <c r="AA40" s="14">
        <f>IF(AND(N(Y40)&gt;0,N(Z40)&gt;0),ROUND(43560/(Y40*Z40),0),"")</f>
        <v/>
      </c>
      <c r="AB40" s="10" t="n"/>
      <c r="AC40" s="10" t="inlineStr">
        <is>
          <t>Full sun</t>
        </is>
      </c>
      <c r="AD40" s="11" t="n"/>
      <c r="AE40" s="10" t="inlineStr">
        <is>
          <t>16°C to 35 °C</t>
        </is>
      </c>
      <c r="AF40" s="10" t="inlineStr">
        <is>
          <t>Small tree</t>
        </is>
      </c>
      <c r="AG40" s="10" t="inlineStr">
        <is>
          <t>3 years</t>
        </is>
      </c>
      <c r="AH40" s="10" t="inlineStr">
        <is>
          <t>20Kgs to 30Kgs per tree</t>
        </is>
      </c>
      <c r="AI40" s="10" t="inlineStr">
        <is>
          <t>November to March</t>
        </is>
      </c>
      <c r="AJ40" s="10" t="inlineStr">
        <is>
          <t>70gms to 100gms</t>
        </is>
      </c>
      <c r="AK40" s="11" t="n"/>
      <c r="AL40" s="11" t="n"/>
      <c r="AM40" s="11" t="n"/>
      <c r="AN40" s="11" t="n"/>
      <c r="AO40" s="11" t="n"/>
      <c r="AP40" s="11" t="n"/>
      <c r="AQ40" s="11" t="n"/>
      <c r="AR40" s="10" t="inlineStr">
        <is>
          <t>https://hasiruagro.com/wp-content/uploads/2023/08/Barbados-CherryFruit-image-Hasiruagro.jpg</t>
        </is>
      </c>
      <c r="AS40" s="11" t="n"/>
      <c r="AT40" s="11" t="n"/>
    </row>
    <row r="41">
      <c r="A41" s="10" t="inlineStr">
        <is>
          <t>HA0037</t>
        </is>
      </c>
      <c r="B41" s="10" t="inlineStr">
        <is>
          <t>Bhadoli Jamun</t>
        </is>
      </c>
      <c r="C41" s="11" t="n"/>
      <c r="D41" s="10" t="inlineStr">
        <is>
          <t>Desi Fruits</t>
        </is>
      </c>
      <c r="E41" s="11" t="inlineStr">
        <is>
          <t>Fruiting Trees</t>
        </is>
      </c>
      <c r="F41" s="11" t="inlineStr">
        <is>
          <t>Desi</t>
        </is>
      </c>
      <c r="G41" s="11" t="inlineStr">
        <is>
          <t>Yes</t>
        </is>
      </c>
      <c r="H41" s="11" t="inlineStr">
        <is>
          <t>No</t>
        </is>
      </c>
      <c r="I41" s="10" t="n"/>
      <c r="J41" s="11" t="n"/>
      <c r="K41" s="11" t="n"/>
      <c r="L41" s="11" t="n"/>
      <c r="M41" s="11" t="n"/>
      <c r="N41" s="11" t="n"/>
      <c r="O41" s="12" t="n">
        <v>450</v>
      </c>
      <c r="P41" s="12" t="n">
        <v>315</v>
      </c>
      <c r="Q41" s="12" t="n">
        <v>150</v>
      </c>
      <c r="R41" s="11" t="n"/>
      <c r="S41" s="13" t="n"/>
      <c r="T41" s="10" t="n">
        <v>0</v>
      </c>
      <c r="U41" s="11" t="n"/>
      <c r="V41" s="11" t="inlineStr">
        <is>
          <t>Out of Stock</t>
        </is>
      </c>
      <c r="W41" s="11" t="n"/>
      <c r="X41" s="11" t="n"/>
      <c r="Y41" s="10" t="n">
        <v>20</v>
      </c>
      <c r="Z41" s="10" t="n">
        <v>20</v>
      </c>
      <c r="AA41" s="14">
        <f>IF(AND(N(Y41)&gt;0,N(Z41)&gt;0),ROUND(43560/(Y41*Z41),0),"")</f>
        <v/>
      </c>
      <c r="AB41" s="10" t="inlineStr">
        <is>
          <t>20ft x 20ft</t>
        </is>
      </c>
      <c r="AC41" s="10" t="inlineStr">
        <is>
          <t>Open sun</t>
        </is>
      </c>
      <c r="AD41" s="11" t="n"/>
      <c r="AE41" s="10" t="inlineStr">
        <is>
          <t>20°C to 40 °C</t>
        </is>
      </c>
      <c r="AF41" s="10" t="inlineStr">
        <is>
          <t>Big tree</t>
        </is>
      </c>
      <c r="AG41" s="10" t="inlineStr">
        <is>
          <t>2 years</t>
        </is>
      </c>
      <c r="AH41" s="10" t="inlineStr">
        <is>
          <t>60Kg to 70Kg</t>
        </is>
      </c>
      <c r="AI41" s="10" t="inlineStr">
        <is>
          <t>May to August</t>
        </is>
      </c>
      <c r="AJ41" s="10" t="inlineStr">
        <is>
          <t>50gm to 100gm</t>
        </is>
      </c>
      <c r="AK41" s="11" t="n"/>
      <c r="AL41" s="11" t="n"/>
      <c r="AM41" s="11" t="n"/>
      <c r="AN41" s="11" t="n"/>
      <c r="AO41" s="11" t="n"/>
      <c r="AP41" s="11" t="n"/>
      <c r="AQ41" s="11" t="n"/>
      <c r="AR41" s="10" t="inlineStr">
        <is>
          <t>https://hasiruagro.com/wp-content/uploads/2023/08/Bhadoli-JamunFruit-image-Hasiruagro.jpg</t>
        </is>
      </c>
      <c r="AS41" s="11" t="n"/>
      <c r="AT41" s="11" t="n"/>
    </row>
    <row r="42">
      <c r="A42" s="10" t="inlineStr">
        <is>
          <t>HA0038</t>
        </is>
      </c>
      <c r="B42" s="10" t="inlineStr">
        <is>
          <t>Bhima Bamboo</t>
        </is>
      </c>
      <c r="C42" s="11" t="n"/>
      <c r="D42" s="10" t="inlineStr">
        <is>
          <t>Forestry</t>
        </is>
      </c>
      <c r="E42" s="11" t="inlineStr">
        <is>
          <t>Timber Trees</t>
        </is>
      </c>
      <c r="F42" s="11" t="n"/>
      <c r="G42" s="11" t="inlineStr">
        <is>
          <t>Yes</t>
        </is>
      </c>
      <c r="H42" s="11" t="inlineStr">
        <is>
          <t>No</t>
        </is>
      </c>
      <c r="I42" s="10" t="inlineStr">
        <is>
          <t>Stem cuttings</t>
        </is>
      </c>
      <c r="J42" s="11" t="n"/>
      <c r="K42" s="11" t="n"/>
      <c r="L42" s="11" t="n"/>
      <c r="M42" s="11" t="n"/>
      <c r="N42" s="11" t="n"/>
      <c r="O42" s="12" t="n">
        <v>360</v>
      </c>
      <c r="P42" s="12" t="n">
        <v>250</v>
      </c>
      <c r="Q42" s="12" t="n">
        <v>80</v>
      </c>
      <c r="R42" s="11" t="n"/>
      <c r="S42" s="13" t="n"/>
      <c r="T42" s="10" t="n">
        <v>0</v>
      </c>
      <c r="U42" s="11" t="n"/>
      <c r="V42" s="11" t="inlineStr">
        <is>
          <t>Out of Stock</t>
        </is>
      </c>
      <c r="W42" s="11" t="n"/>
      <c r="X42" s="11" t="n"/>
      <c r="Y42" s="10" t="n">
        <v>15</v>
      </c>
      <c r="Z42" s="10" t="n">
        <v>15</v>
      </c>
      <c r="AA42" s="14">
        <f>IF(AND(N(Y42)&gt;0,N(Z42)&gt;0),ROUND(43560/(Y42*Z42),0),"")</f>
        <v/>
      </c>
      <c r="AB42" s="10" t="inlineStr">
        <is>
          <t>15ft x 15ft</t>
        </is>
      </c>
      <c r="AC42" s="10" t="inlineStr">
        <is>
          <t>Full sun</t>
        </is>
      </c>
      <c r="AD42" s="11" t="n"/>
      <c r="AE42" s="10" t="inlineStr">
        <is>
          <t>20°C to 40°C</t>
        </is>
      </c>
      <c r="AF42" s="10" t="inlineStr">
        <is>
          <t>20ft to 30 ft tall</t>
        </is>
      </c>
      <c r="AG42" s="10" t="inlineStr">
        <is>
          <t>5 to 6 years</t>
        </is>
      </c>
      <c r="AH42" s="10" t="n"/>
      <c r="AI42" s="10" t="n"/>
      <c r="AJ42" s="10" t="n"/>
      <c r="AK42" s="11" t="n"/>
      <c r="AL42" s="11" t="n"/>
      <c r="AM42" s="11" t="n"/>
      <c r="AN42" s="11" t="n"/>
      <c r="AO42" s="11" t="n"/>
      <c r="AP42" s="11" t="n"/>
      <c r="AQ42" s="11" t="n"/>
      <c r="AR42" s="10" t="inlineStr">
        <is>
          <t>https://hasiruagro.com/wp-content/uploads/2023/08/Bhima-Bamboo.jpg</t>
        </is>
      </c>
      <c r="AS42" s="11" t="n"/>
      <c r="AT42" s="11" t="n"/>
    </row>
    <row r="43">
      <c r="A43" s="10" t="inlineStr">
        <is>
          <t>HA0039</t>
        </is>
      </c>
      <c r="B43" s="10" t="inlineStr">
        <is>
          <t>Bhutan Chatuki Orange</t>
        </is>
      </c>
      <c r="C43" s="11" t="n"/>
      <c r="D43" s="10" t="inlineStr">
        <is>
          <t>Exotic fruits</t>
        </is>
      </c>
      <c r="E43" s="11" t="inlineStr">
        <is>
          <t>Fruiting Trees</t>
        </is>
      </c>
      <c r="F43" s="11" t="inlineStr">
        <is>
          <t>Exotic</t>
        </is>
      </c>
      <c r="G43" s="11" t="inlineStr">
        <is>
          <t>Yes</t>
        </is>
      </c>
      <c r="H43" s="11" t="inlineStr">
        <is>
          <t>No</t>
        </is>
      </c>
      <c r="I43" s="10" t="inlineStr">
        <is>
          <t>Grafted</t>
        </is>
      </c>
      <c r="J43" s="11" t="n"/>
      <c r="K43" s="11" t="n"/>
      <c r="L43" s="11" t="n"/>
      <c r="M43" s="11" t="n"/>
      <c r="N43" s="11" t="n"/>
      <c r="O43" s="12" t="n">
        <v>560</v>
      </c>
      <c r="P43" s="12" t="n">
        <v>390</v>
      </c>
      <c r="Q43" s="12" t="n">
        <v>180</v>
      </c>
      <c r="R43" s="11" t="n"/>
      <c r="S43" s="13" t="n"/>
      <c r="T43" s="10" t="n">
        <v>0</v>
      </c>
      <c r="U43" s="11" t="n"/>
      <c r="V43" s="11" t="inlineStr">
        <is>
          <t>Out of Stock</t>
        </is>
      </c>
      <c r="W43" s="11" t="n"/>
      <c r="X43" s="11" t="n"/>
      <c r="Y43" s="10" t="n"/>
      <c r="Z43" s="10" t="n"/>
      <c r="AA43" s="14">
        <f>IF(AND(N(Y43)&gt;0,N(Z43)&gt;0),ROUND(43560/(Y43*Z43),0),"")</f>
        <v/>
      </c>
      <c r="AB43" s="10" t="n"/>
      <c r="AC43" s="10" t="inlineStr">
        <is>
          <t>Full sun</t>
        </is>
      </c>
      <c r="AD43" s="11" t="n"/>
      <c r="AE43" s="10" t="inlineStr">
        <is>
          <t>16°C to 35 °C</t>
        </is>
      </c>
      <c r="AF43" s="10" t="inlineStr">
        <is>
          <t>Medium tree</t>
        </is>
      </c>
      <c r="AG43" s="10" t="inlineStr">
        <is>
          <t>2 years</t>
        </is>
      </c>
      <c r="AH43" s="10" t="inlineStr">
        <is>
          <t>250 to 350 oranges per tree</t>
        </is>
      </c>
      <c r="AI43" s="10" t="inlineStr">
        <is>
          <t>Year round</t>
        </is>
      </c>
      <c r="AJ43" s="10" t="inlineStr">
        <is>
          <t>80gms to 150gms</t>
        </is>
      </c>
      <c r="AK43" s="11" t="n"/>
      <c r="AL43" s="11" t="n"/>
      <c r="AM43" s="11" t="n"/>
      <c r="AN43" s="11" t="n"/>
      <c r="AO43" s="11" t="n"/>
      <c r="AP43" s="11" t="n"/>
      <c r="AQ43" s="11" t="n"/>
      <c r="AR43" s="10" t="inlineStr">
        <is>
          <t>https://hasiruagro.com/wp-content/uploads/2023/07/Bhutan-Chatuki-Orange.webp</t>
        </is>
      </c>
      <c r="AS43" s="11" t="n"/>
      <c r="AT43" s="11" t="n"/>
    </row>
    <row r="44">
      <c r="A44" s="10" t="inlineStr">
        <is>
          <t>HA0040</t>
        </is>
      </c>
      <c r="B44" s="10" t="inlineStr">
        <is>
          <t>Black mango</t>
        </is>
      </c>
      <c r="C44" s="11" t="n"/>
      <c r="D44" s="10" t="inlineStr">
        <is>
          <t>Exotic fruits</t>
        </is>
      </c>
      <c r="E44" s="11" t="inlineStr">
        <is>
          <t>Fruiting Trees</t>
        </is>
      </c>
      <c r="F44" s="11" t="inlineStr">
        <is>
          <t>Exotic</t>
        </is>
      </c>
      <c r="G44" s="11" t="inlineStr">
        <is>
          <t>Yes</t>
        </is>
      </c>
      <c r="H44" s="11" t="inlineStr">
        <is>
          <t>No</t>
        </is>
      </c>
      <c r="I44" s="10" t="inlineStr">
        <is>
          <t>Grafted</t>
        </is>
      </c>
      <c r="J44" s="11" t="n"/>
      <c r="K44" s="11" t="n"/>
      <c r="L44" s="11" t="n"/>
      <c r="M44" s="11" t="n"/>
      <c r="N44" s="11" t="n"/>
      <c r="O44" s="12" t="n">
        <v>800</v>
      </c>
      <c r="P44" s="12" t="n">
        <v>560</v>
      </c>
      <c r="Q44" s="12" t="n">
        <v>300</v>
      </c>
      <c r="R44" s="11" t="n"/>
      <c r="S44" s="13" t="n"/>
      <c r="T44" s="10" t="n"/>
      <c r="U44" s="11" t="n"/>
      <c r="V44" s="11" t="inlineStr">
        <is>
          <t>Out of Stock</t>
        </is>
      </c>
      <c r="W44" s="11" t="n"/>
      <c r="X44" s="11" t="n"/>
      <c r="Y44" s="10" t="n"/>
      <c r="Z44" s="10" t="n"/>
      <c r="AA44" s="14">
        <f>IF(AND(N(Y44)&gt;0,N(Z44)&gt;0),ROUND(43560/(Y44*Z44),0),"")</f>
        <v/>
      </c>
      <c r="AB44" s="10" t="n"/>
      <c r="AC44" s="10" t="inlineStr">
        <is>
          <t>Full sun</t>
        </is>
      </c>
      <c r="AD44" s="11" t="n"/>
      <c r="AE44" s="10" t="inlineStr">
        <is>
          <t>20°C to 35°C</t>
        </is>
      </c>
      <c r="AF44" s="10" t="inlineStr">
        <is>
          <t>Small to medium sized tree</t>
        </is>
      </c>
      <c r="AG44" s="10" t="inlineStr">
        <is>
          <t>3 years</t>
        </is>
      </c>
      <c r="AH44" s="10" t="inlineStr">
        <is>
          <t>100Kgs to 150Kgs per tree</t>
        </is>
      </c>
      <c r="AI44" s="10" t="inlineStr">
        <is>
          <t>Throughout the year</t>
        </is>
      </c>
      <c r="AJ44" s="10" t="inlineStr">
        <is>
          <t>400gm to 500gm</t>
        </is>
      </c>
      <c r="AK44" s="11" t="n"/>
      <c r="AL44" s="11" t="n"/>
      <c r="AM44" s="11" t="n"/>
      <c r="AN44" s="11" t="n"/>
      <c r="AO44" s="11" t="n"/>
      <c r="AP44" s="11" t="n"/>
      <c r="AQ44" s="11" t="n"/>
      <c r="AR44" s="10" t="inlineStr">
        <is>
          <t>https://hasiruagro.com/wp-content/uploads/2023/07/Black-Mango.jpg</t>
        </is>
      </c>
      <c r="AS44" s="11" t="n"/>
      <c r="AT44" s="11" t="n"/>
    </row>
    <row r="45">
      <c r="A45" s="10" t="inlineStr">
        <is>
          <t>HA0041</t>
        </is>
      </c>
      <c r="B45" s="10" t="inlineStr">
        <is>
          <t>Black guava</t>
        </is>
      </c>
      <c r="C45" s="11" t="n"/>
      <c r="D45" s="10" t="inlineStr">
        <is>
          <t>Exotic fruits</t>
        </is>
      </c>
      <c r="E45" s="11" t="inlineStr">
        <is>
          <t>Fruiting Trees</t>
        </is>
      </c>
      <c r="F45" s="11" t="inlineStr">
        <is>
          <t>Exotic</t>
        </is>
      </c>
      <c r="G45" s="11" t="inlineStr">
        <is>
          <t>Yes</t>
        </is>
      </c>
      <c r="H45" s="11" t="inlineStr">
        <is>
          <t>No</t>
        </is>
      </c>
      <c r="I45" s="10" t="inlineStr">
        <is>
          <t>Air layered</t>
        </is>
      </c>
      <c r="J45" s="11" t="n"/>
      <c r="K45" s="11" t="n"/>
      <c r="L45" s="11" t="n"/>
      <c r="M45" s="11" t="n"/>
      <c r="N45" s="11" t="n"/>
      <c r="O45" s="12" t="n">
        <v>500</v>
      </c>
      <c r="P45" s="12" t="n">
        <v>350</v>
      </c>
      <c r="Q45" s="12" t="n">
        <v>150</v>
      </c>
      <c r="R45" s="11" t="n"/>
      <c r="S45" s="13" t="n"/>
      <c r="T45" s="10" t="n">
        <v>33</v>
      </c>
      <c r="U45" s="11" t="n"/>
      <c r="V45" s="11" t="inlineStr">
        <is>
          <t>Available</t>
        </is>
      </c>
      <c r="W45" s="11" t="n"/>
      <c r="X45" s="11" t="n"/>
      <c r="Y45" s="10" t="n"/>
      <c r="Z45" s="10" t="n"/>
      <c r="AA45" s="14">
        <f>IF(AND(N(Y45)&gt;0,N(Z45)&gt;0),ROUND(43560/(Y45*Z45),0),"")</f>
        <v/>
      </c>
      <c r="AB45" s="10" t="n"/>
      <c r="AC45" s="10" t="inlineStr">
        <is>
          <t>Full sun</t>
        </is>
      </c>
      <c r="AD45" s="11" t="n"/>
      <c r="AE45" s="10" t="inlineStr">
        <is>
          <t>20°C to 40 °C</t>
        </is>
      </c>
      <c r="AF45" s="10" t="inlineStr">
        <is>
          <t>Medium sized tree</t>
        </is>
      </c>
      <c r="AG45" s="10" t="inlineStr">
        <is>
          <t>2 years</t>
        </is>
      </c>
      <c r="AH45" s="10" t="inlineStr">
        <is>
          <t>60Kgs to 150Kgs per tree</t>
        </is>
      </c>
      <c r="AI45" s="10" t="inlineStr">
        <is>
          <t>Year round</t>
        </is>
      </c>
      <c r="AJ45" s="10" t="inlineStr">
        <is>
          <t>20gm to 50gm</t>
        </is>
      </c>
      <c r="AK45" s="11" t="n"/>
      <c r="AL45" s="11" t="n"/>
      <c r="AM45" s="11" t="n"/>
      <c r="AN45" s="11" t="n"/>
      <c r="AO45" s="11" t="n"/>
      <c r="AP45" s="11" t="n"/>
      <c r="AQ45" s="11" t="n"/>
      <c r="AR45" s="10" t="inlineStr">
        <is>
          <t>https://hasiruagro.com/wp-content/uploads/2023/08/Black-guava-fruit-image-Hasiruagro.jpg</t>
        </is>
      </c>
      <c r="AS45" s="11" t="n"/>
      <c r="AT45" s="11" t="n"/>
    </row>
    <row r="46">
      <c r="A46" s="10" t="inlineStr">
        <is>
          <t>HA0042</t>
        </is>
      </c>
      <c r="B46" s="10" t="inlineStr">
        <is>
          <t>Bombay litchi</t>
        </is>
      </c>
      <c r="C46" s="11" t="n"/>
      <c r="D46" s="10" t="inlineStr">
        <is>
          <t>Desi Fruits</t>
        </is>
      </c>
      <c r="E46" s="11" t="inlineStr">
        <is>
          <t>Fruiting Trees</t>
        </is>
      </c>
      <c r="F46" s="11" t="inlineStr">
        <is>
          <t>Desi</t>
        </is>
      </c>
      <c r="G46" s="11" t="inlineStr">
        <is>
          <t>Yes</t>
        </is>
      </c>
      <c r="H46" s="11" t="inlineStr">
        <is>
          <t>No</t>
        </is>
      </c>
      <c r="I46" s="10" t="inlineStr">
        <is>
          <t>Grafted</t>
        </is>
      </c>
      <c r="J46" s="11" t="n"/>
      <c r="K46" s="11" t="n"/>
      <c r="L46" s="11" t="n"/>
      <c r="M46" s="11" t="n"/>
      <c r="N46" s="11" t="n"/>
      <c r="O46" s="12" t="n">
        <v>500</v>
      </c>
      <c r="P46" s="12" t="n">
        <v>350</v>
      </c>
      <c r="Q46" s="12" t="n">
        <v>150</v>
      </c>
      <c r="R46" s="11" t="n"/>
      <c r="S46" s="13" t="n"/>
      <c r="T46" s="10" t="n">
        <v>0</v>
      </c>
      <c r="U46" s="11" t="n"/>
      <c r="V46" s="11" t="inlineStr">
        <is>
          <t>Out of Stock</t>
        </is>
      </c>
      <c r="W46" s="11" t="n"/>
      <c r="X46" s="11" t="n"/>
      <c r="Y46" s="10" t="n">
        <v>25</v>
      </c>
      <c r="Z46" s="10" t="n">
        <v>25</v>
      </c>
      <c r="AA46" s="14">
        <f>IF(AND(N(Y46)&gt;0,N(Z46)&gt;0),ROUND(43560/(Y46*Z46),0),"")</f>
        <v/>
      </c>
      <c r="AB46" s="10" t="inlineStr">
        <is>
          <t>25ft x 25ft</t>
        </is>
      </c>
      <c r="AC46" s="10" t="inlineStr">
        <is>
          <t>Full sun</t>
        </is>
      </c>
      <c r="AD46" s="11" t="n"/>
      <c r="AE46" s="10" t="inlineStr">
        <is>
          <t>15°C to 38°C</t>
        </is>
      </c>
      <c r="AF46" s="10" t="inlineStr">
        <is>
          <t>Medium sized tree</t>
        </is>
      </c>
      <c r="AG46" s="10" t="inlineStr">
        <is>
          <t>3 years</t>
        </is>
      </c>
      <c r="AH46" s="10" t="inlineStr">
        <is>
          <t>80Kg to 150Kg</t>
        </is>
      </c>
      <c r="AI46" s="10" t="inlineStr">
        <is>
          <t>April to July</t>
        </is>
      </c>
      <c r="AJ46" s="10" t="inlineStr">
        <is>
          <t>50gms to 70gms</t>
        </is>
      </c>
      <c r="AK46" s="11" t="n"/>
      <c r="AL46" s="11" t="n"/>
      <c r="AM46" s="11" t="n"/>
      <c r="AN46" s="11" t="n"/>
      <c r="AO46" s="11" t="n"/>
      <c r="AP46" s="11" t="n"/>
      <c r="AQ46" s="11" t="n"/>
      <c r="AR46" s="10" t="inlineStr">
        <is>
          <t>https://hasiruagro.com/wp-content/uploads/2023/08/Bombay-litchi.jpg</t>
        </is>
      </c>
      <c r="AS46" s="11" t="n"/>
      <c r="AT46" s="11" t="n"/>
    </row>
    <row r="47">
      <c r="A47" s="10" t="inlineStr">
        <is>
          <t>HA0043</t>
        </is>
      </c>
      <c r="B47" s="10" t="inlineStr">
        <is>
          <t>Bread fruit</t>
        </is>
      </c>
      <c r="C47" s="11" t="n"/>
      <c r="D47" s="10" t="inlineStr">
        <is>
          <t>Exotic fruits</t>
        </is>
      </c>
      <c r="E47" s="11" t="inlineStr">
        <is>
          <t>Fruiting Trees</t>
        </is>
      </c>
      <c r="F47" s="11" t="inlineStr">
        <is>
          <t>Exotic</t>
        </is>
      </c>
      <c r="G47" s="11" t="inlineStr">
        <is>
          <t>Yes</t>
        </is>
      </c>
      <c r="H47" s="11" t="inlineStr">
        <is>
          <t>No</t>
        </is>
      </c>
      <c r="I47" s="10" t="inlineStr">
        <is>
          <t>Seeded</t>
        </is>
      </c>
      <c r="J47" s="11" t="n"/>
      <c r="K47" s="11" t="n"/>
      <c r="L47" s="11" t="n"/>
      <c r="M47" s="11" t="n"/>
      <c r="N47" s="11" t="n"/>
      <c r="O47" s="12" t="n">
        <v>900</v>
      </c>
      <c r="P47" s="12" t="n">
        <v>630</v>
      </c>
      <c r="Q47" s="12" t="n">
        <v>350</v>
      </c>
      <c r="R47" s="11" t="n"/>
      <c r="S47" s="13" t="n"/>
      <c r="T47" s="10" t="n">
        <v>0</v>
      </c>
      <c r="U47" s="11" t="n"/>
      <c r="V47" s="11" t="inlineStr">
        <is>
          <t>Out of Stock</t>
        </is>
      </c>
      <c r="W47" s="11" t="n"/>
      <c r="X47" s="11" t="n"/>
      <c r="Y47" s="10" t="n"/>
      <c r="Z47" s="10" t="n"/>
      <c r="AA47" s="14">
        <f>IF(AND(N(Y47)&gt;0,N(Z47)&gt;0),ROUND(43560/(Y47*Z47),0),"")</f>
        <v/>
      </c>
      <c r="AB47" s="10" t="n"/>
      <c r="AC47" s="10" t="inlineStr">
        <is>
          <t>Full sun</t>
        </is>
      </c>
      <c r="AD47" s="11" t="n"/>
      <c r="AE47" s="10" t="inlineStr">
        <is>
          <t>20°C to 35°C</t>
        </is>
      </c>
      <c r="AF47" s="10" t="inlineStr">
        <is>
          <t>Big tree</t>
        </is>
      </c>
      <c r="AG47" s="10" t="inlineStr">
        <is>
          <t>5 years</t>
        </is>
      </c>
      <c r="AH47" s="10" t="inlineStr">
        <is>
          <t>150 to 250 fruits per tree</t>
        </is>
      </c>
      <c r="AI47" s="10" t="inlineStr">
        <is>
          <t>June to September</t>
        </is>
      </c>
      <c r="AJ47" s="10" t="inlineStr">
        <is>
          <t>1Kg to 5Kg</t>
        </is>
      </c>
      <c r="AK47" s="11" t="n"/>
      <c r="AL47" s="11" t="n"/>
      <c r="AM47" s="11" t="n"/>
      <c r="AN47" s="11" t="n"/>
      <c r="AO47" s="11" t="n"/>
      <c r="AP47" s="11" t="n"/>
      <c r="AQ47" s="11" t="n"/>
      <c r="AR47" s="10" t="inlineStr">
        <is>
          <t>https://hasiruagro.com/wp-content/uploads/2023/08/Bread-fruit.jpg</t>
        </is>
      </c>
      <c r="AS47" s="11" t="n"/>
      <c r="AT47" s="11" t="n"/>
    </row>
    <row r="48">
      <c r="A48" s="10" t="inlineStr">
        <is>
          <t>HA0044</t>
        </is>
      </c>
      <c r="B48" s="10" t="inlineStr">
        <is>
          <t>Byrachandra Jackfruit</t>
        </is>
      </c>
      <c r="C48" s="11" t="n"/>
      <c r="D48" s="10" t="inlineStr">
        <is>
          <t>Desi Fruits</t>
        </is>
      </c>
      <c r="E48" s="11" t="inlineStr">
        <is>
          <t>Fruiting Trees</t>
        </is>
      </c>
      <c r="F48" s="11" t="inlineStr">
        <is>
          <t>Desi</t>
        </is>
      </c>
      <c r="G48" s="11" t="inlineStr">
        <is>
          <t>Yes</t>
        </is>
      </c>
      <c r="H48" s="11" t="inlineStr">
        <is>
          <t>No</t>
        </is>
      </c>
      <c r="I48" s="10" t="inlineStr">
        <is>
          <t>Grafted</t>
        </is>
      </c>
      <c r="J48" s="11" t="n"/>
      <c r="K48" s="11" t="n"/>
      <c r="L48" s="11" t="n"/>
      <c r="M48" s="11" t="n"/>
      <c r="N48" s="11" t="n"/>
      <c r="O48" s="12" t="n">
        <v>1225</v>
      </c>
      <c r="P48" s="12" t="n">
        <v>490</v>
      </c>
      <c r="Q48" s="12" t="n">
        <v>260</v>
      </c>
      <c r="R48" s="11" t="n"/>
      <c r="S48" s="13" t="n"/>
      <c r="T48" s="10" t="n">
        <v>0</v>
      </c>
      <c r="U48" s="11" t="n"/>
      <c r="V48" s="11" t="inlineStr">
        <is>
          <t>Out of Stock</t>
        </is>
      </c>
      <c r="W48" s="11" t="n"/>
      <c r="X48" s="11" t="n"/>
      <c r="Y48" s="10" t="n">
        <v>20</v>
      </c>
      <c r="Z48" s="10" t="n">
        <v>20</v>
      </c>
      <c r="AA48" s="14">
        <f>IF(AND(N(Y48)&gt;0,N(Z48)&gt;0),ROUND(43560/(Y48*Z48),0),"")</f>
        <v/>
      </c>
      <c r="AB48" s="10" t="inlineStr">
        <is>
          <t>20ft x 20ft</t>
        </is>
      </c>
      <c r="AC48" s="10" t="inlineStr">
        <is>
          <t>Open sun</t>
        </is>
      </c>
      <c r="AD48" s="11" t="n"/>
      <c r="AE48" s="10" t="inlineStr">
        <is>
          <t>20°C to 40 °C</t>
        </is>
      </c>
      <c r="AF48" s="10" t="inlineStr">
        <is>
          <t>Big tree</t>
        </is>
      </c>
      <c r="AG48" s="10" t="inlineStr">
        <is>
          <t>2 years</t>
        </is>
      </c>
      <c r="AH48" s="10" t="inlineStr">
        <is>
          <t>150 to 200 fruits</t>
        </is>
      </c>
      <c r="AI48" s="10" t="inlineStr">
        <is>
          <t>July to December</t>
        </is>
      </c>
      <c r="AJ48" s="10" t="inlineStr">
        <is>
          <t>Medium to Large</t>
        </is>
      </c>
      <c r="AK48" s="11" t="n"/>
      <c r="AL48" s="11" t="n"/>
      <c r="AM48" s="11" t="n"/>
      <c r="AN48" s="11" t="n"/>
      <c r="AO48" s="11" t="n"/>
      <c r="AP48" s="11" t="n"/>
      <c r="AQ48" s="11" t="n"/>
      <c r="AR48" s="10" t="inlineStr">
        <is>
          <t>https://hasiruagro.com/wp-content/uploads/2023/08/Byrachandra-Jackfruit-F.jpg</t>
        </is>
      </c>
      <c r="AS48" s="11" t="n"/>
      <c r="AT48" s="11" t="n"/>
    </row>
    <row r="49">
      <c r="A49" s="10" t="inlineStr">
        <is>
          <t>HA0045</t>
        </is>
      </c>
      <c r="B49" s="10" t="inlineStr">
        <is>
          <t>Cardamom(Vijetha)</t>
        </is>
      </c>
      <c r="C49" s="11" t="n"/>
      <c r="D49" s="10" t="inlineStr">
        <is>
          <t>Spices</t>
        </is>
      </c>
      <c r="E49" s="11" t="inlineStr">
        <is>
          <t>Other Plants</t>
        </is>
      </c>
      <c r="F49" s="11" t="inlineStr">
        <is>
          <t>Spices</t>
        </is>
      </c>
      <c r="G49" s="11" t="inlineStr">
        <is>
          <t>Yes</t>
        </is>
      </c>
      <c r="H49" s="11" t="inlineStr">
        <is>
          <t>No</t>
        </is>
      </c>
      <c r="I49" s="10" t="inlineStr">
        <is>
          <t>Root suckers</t>
        </is>
      </c>
      <c r="J49" s="11" t="n"/>
      <c r="K49" s="11" t="n"/>
      <c r="L49" s="11" t="n"/>
      <c r="M49" s="11" t="n"/>
      <c r="N49" s="11" t="n"/>
      <c r="O49" s="12" t="n">
        <v>320</v>
      </c>
      <c r="P49" s="12" t="n">
        <v>225</v>
      </c>
      <c r="Q49" s="12" t="n">
        <v>60</v>
      </c>
      <c r="R49" s="11" t="n"/>
      <c r="S49" s="13" t="n"/>
      <c r="T49" s="10" t="n">
        <v>0</v>
      </c>
      <c r="U49" s="11" t="n"/>
      <c r="V49" s="11" t="inlineStr">
        <is>
          <t>Out of Stock</t>
        </is>
      </c>
      <c r="W49" s="11" t="n"/>
      <c r="X49" s="11" t="n"/>
      <c r="Y49" s="10" t="n"/>
      <c r="Z49" s="10" t="n"/>
      <c r="AA49" s="14">
        <f>IF(AND(N(Y49)&gt;0,N(Z49)&gt;0),ROUND(43560/(Y49*Z49),0),"")</f>
        <v/>
      </c>
      <c r="AB49" s="10" t="inlineStr">
        <is>
          <t>Small bushy plant</t>
        </is>
      </c>
      <c r="AC49" s="10" t="inlineStr">
        <is>
          <t>Full shade</t>
        </is>
      </c>
      <c r="AD49" s="11" t="n"/>
      <c r="AE49" s="10" t="inlineStr">
        <is>
          <t>10°C to 35°C</t>
        </is>
      </c>
      <c r="AF49" s="10" t="inlineStr">
        <is>
          <t>Small bushy plant</t>
        </is>
      </c>
      <c r="AG49" s="10" t="inlineStr">
        <is>
          <t>3 years</t>
        </is>
      </c>
      <c r="AH49" s="10" t="inlineStr">
        <is>
          <t>200 - 250 Dry capsules per acre</t>
        </is>
      </c>
      <c r="AI49" s="10" t="inlineStr">
        <is>
          <t>September to February</t>
        </is>
      </c>
      <c r="AJ49" s="10" t="inlineStr">
        <is>
          <t>1gm to 2gms</t>
        </is>
      </c>
      <c r="AK49" s="11" t="n"/>
      <c r="AL49" s="11" t="n"/>
      <c r="AM49" s="11" t="n"/>
      <c r="AN49" s="11" t="n"/>
      <c r="AO49" s="11" t="n"/>
      <c r="AP49" s="11" t="n"/>
      <c r="AQ49" s="11" t="n"/>
      <c r="AR49" s="10" t="inlineStr">
        <is>
          <t>https://hasiruagro.com/wp-content/uploads/2023/08/CardamomVijetha-fruit-image-Hasiruagro.jpg</t>
        </is>
      </c>
      <c r="AS49" s="11" t="n"/>
      <c r="AT49" s="11" t="n"/>
    </row>
    <row r="50">
      <c r="A50" s="10" t="inlineStr">
        <is>
          <t>HA0046</t>
        </is>
      </c>
      <c r="B50" s="10" t="inlineStr">
        <is>
          <t>Chikku (Cricket ball)</t>
        </is>
      </c>
      <c r="C50" s="11" t="n"/>
      <c r="D50" s="10" t="inlineStr">
        <is>
          <t>Desi Fruits</t>
        </is>
      </c>
      <c r="E50" s="11" t="inlineStr">
        <is>
          <t>Fruiting Trees</t>
        </is>
      </c>
      <c r="F50" s="11" t="inlineStr">
        <is>
          <t>Desi</t>
        </is>
      </c>
      <c r="G50" s="11" t="inlineStr">
        <is>
          <t>Yes</t>
        </is>
      </c>
      <c r="H50" s="11" t="inlineStr">
        <is>
          <t>No</t>
        </is>
      </c>
      <c r="I50" s="10" t="inlineStr">
        <is>
          <t>Grafted</t>
        </is>
      </c>
      <c r="J50" s="11" t="n"/>
      <c r="K50" s="11" t="n"/>
      <c r="L50" s="11" t="n"/>
      <c r="M50" s="11" t="n"/>
      <c r="N50" s="11" t="n"/>
      <c r="O50" s="12" t="n">
        <v>520</v>
      </c>
      <c r="P50" s="12" t="n">
        <v>365</v>
      </c>
      <c r="Q50" s="12" t="n">
        <v>180</v>
      </c>
      <c r="R50" s="11" t="n"/>
      <c r="S50" s="13" t="n"/>
      <c r="T50" s="10" t="n">
        <v>93</v>
      </c>
      <c r="U50" s="11" t="n"/>
      <c r="V50" s="11" t="inlineStr">
        <is>
          <t>Available</t>
        </is>
      </c>
      <c r="W50" s="11" t="n"/>
      <c r="X50" s="11" t="n"/>
      <c r="Y50" s="10" t="n">
        <v>18</v>
      </c>
      <c r="Z50" s="10" t="n">
        <v>18</v>
      </c>
      <c r="AA50" s="14">
        <f>IF(AND(N(Y50)&gt;0,N(Z50)&gt;0),ROUND(43560/(Y50*Z50),0),"")</f>
        <v/>
      </c>
      <c r="AB50" s="10" t="inlineStr">
        <is>
          <t>18ft x 18ft</t>
        </is>
      </c>
      <c r="AC50" s="10" t="inlineStr">
        <is>
          <t>Open sun</t>
        </is>
      </c>
      <c r="AD50" s="11" t="n"/>
      <c r="AE50" s="10" t="inlineStr">
        <is>
          <t>20°C to 40 °C</t>
        </is>
      </c>
      <c r="AF50" s="10" t="inlineStr">
        <is>
          <t>Medium sized tree</t>
        </is>
      </c>
      <c r="AG50" s="10" t="inlineStr">
        <is>
          <t>2 years</t>
        </is>
      </c>
      <c r="AH50" s="10" t="inlineStr">
        <is>
          <t>1000 to 1500 fruits</t>
        </is>
      </c>
      <c r="AI50" s="10" t="inlineStr">
        <is>
          <t>July to NovemberFebruary to March</t>
        </is>
      </c>
      <c r="AJ50" s="10" t="inlineStr">
        <is>
          <t>70 gm to 150gm</t>
        </is>
      </c>
      <c r="AK50" s="11" t="n"/>
      <c r="AL50" s="11" t="n"/>
      <c r="AM50" s="11" t="n"/>
      <c r="AN50" s="11" t="n"/>
      <c r="AO50" s="11" t="n"/>
      <c r="AP50" s="11" t="n"/>
      <c r="AQ50" s="11" t="n"/>
      <c r="AR50" s="10" t="inlineStr">
        <is>
          <t>https://hasiruagro.com/wp-content/uploads/2023/08/chikoo-cricket-ball-fruit-fruit-image-Hasiruagro.jpg</t>
        </is>
      </c>
      <c r="AS50" s="11" t="n"/>
      <c r="AT50" s="11" t="n"/>
    </row>
    <row r="51">
      <c r="A51" s="10" t="inlineStr">
        <is>
          <t>HA0047</t>
        </is>
      </c>
      <c r="B51" s="10" t="inlineStr">
        <is>
          <t>Chikku (kalapatti)</t>
        </is>
      </c>
      <c r="C51" s="11" t="n"/>
      <c r="D51" s="10" t="inlineStr">
        <is>
          <t>Desi Fruits</t>
        </is>
      </c>
      <c r="E51" s="11" t="inlineStr">
        <is>
          <t>Fruiting Trees</t>
        </is>
      </c>
      <c r="F51" s="11" t="inlineStr">
        <is>
          <t>Desi</t>
        </is>
      </c>
      <c r="G51" s="11" t="inlineStr">
        <is>
          <t>Yes</t>
        </is>
      </c>
      <c r="H51" s="11" t="inlineStr">
        <is>
          <t>No</t>
        </is>
      </c>
      <c r="I51" s="10" t="inlineStr">
        <is>
          <t>Grafted</t>
        </is>
      </c>
      <c r="J51" s="11" t="n"/>
      <c r="K51" s="11" t="n"/>
      <c r="L51" s="11" t="n"/>
      <c r="M51" s="11" t="n"/>
      <c r="N51" s="11" t="n"/>
      <c r="O51" s="12" t="n">
        <v>520</v>
      </c>
      <c r="P51" s="12" t="n">
        <v>365</v>
      </c>
      <c r="Q51" s="12" t="n">
        <v>180</v>
      </c>
      <c r="R51" s="11" t="n"/>
      <c r="S51" s="13" t="n"/>
      <c r="T51" s="10" t="n">
        <v>398</v>
      </c>
      <c r="U51" s="11" t="n"/>
      <c r="V51" s="11" t="inlineStr">
        <is>
          <t>Available</t>
        </is>
      </c>
      <c r="W51" s="11" t="n"/>
      <c r="X51" s="11" t="n"/>
      <c r="Y51" s="10" t="n">
        <v>18</v>
      </c>
      <c r="Z51" s="10" t="n">
        <v>18</v>
      </c>
      <c r="AA51" s="14">
        <f>IF(AND(N(Y51)&gt;0,N(Z51)&gt;0),ROUND(43560/(Y51*Z51),0),"")</f>
        <v/>
      </c>
      <c r="AB51" s="10" t="inlineStr">
        <is>
          <t>18ft x 18ft</t>
        </is>
      </c>
      <c r="AC51" s="10" t="inlineStr">
        <is>
          <t>Open sun</t>
        </is>
      </c>
      <c r="AD51" s="11" t="n"/>
      <c r="AE51" s="10" t="inlineStr">
        <is>
          <t>20°C to 40 °C</t>
        </is>
      </c>
      <c r="AF51" s="10" t="inlineStr">
        <is>
          <t>Medium sized tree</t>
        </is>
      </c>
      <c r="AG51" s="10" t="inlineStr">
        <is>
          <t>2 years</t>
        </is>
      </c>
      <c r="AH51" s="10" t="inlineStr">
        <is>
          <t>1000 to 1500 fruits</t>
        </is>
      </c>
      <c r="AI51" s="10" t="inlineStr">
        <is>
          <t>July to NovemberFebruary to March</t>
        </is>
      </c>
      <c r="AJ51" s="10" t="inlineStr">
        <is>
          <t>70 gm to 150gm</t>
        </is>
      </c>
      <c r="AK51" s="11" t="n"/>
      <c r="AL51" s="11" t="n"/>
      <c r="AM51" s="11" t="n"/>
      <c r="AN51" s="11" t="n"/>
      <c r="AO51" s="11" t="n"/>
      <c r="AP51" s="11" t="n"/>
      <c r="AQ51" s="11" t="n"/>
      <c r="AR51" s="10" t="inlineStr">
        <is>
          <t>https://hasiruagro.com/wp-content/uploads/2023/08/kalapatti-chikoo-fruit-fruit-image-Hasiruagro.jpg</t>
        </is>
      </c>
      <c r="AS51" s="11" t="n"/>
      <c r="AT51" s="11" t="n"/>
    </row>
    <row r="52">
      <c r="A52" s="10" t="inlineStr">
        <is>
          <t>HA0048</t>
        </is>
      </c>
      <c r="B52" s="10" t="inlineStr">
        <is>
          <t>China Orange</t>
        </is>
      </c>
      <c r="C52" s="11" t="n"/>
      <c r="D52" s="10" t="inlineStr">
        <is>
          <t>Exotic fruits</t>
        </is>
      </c>
      <c r="E52" s="11" t="inlineStr">
        <is>
          <t>Fruiting Trees</t>
        </is>
      </c>
      <c r="F52" s="11" t="inlineStr">
        <is>
          <t>Exotic</t>
        </is>
      </c>
      <c r="G52" s="11" t="inlineStr">
        <is>
          <t>Yes</t>
        </is>
      </c>
      <c r="H52" s="11" t="inlineStr">
        <is>
          <t>No</t>
        </is>
      </c>
      <c r="I52" s="10" t="inlineStr">
        <is>
          <t>Grafted</t>
        </is>
      </c>
      <c r="J52" s="11" t="n"/>
      <c r="K52" s="11" t="n"/>
      <c r="L52" s="11" t="n"/>
      <c r="M52" s="11" t="n"/>
      <c r="N52" s="11" t="n"/>
      <c r="O52" s="12" t="n">
        <v>500</v>
      </c>
      <c r="P52" s="12" t="n">
        <v>350</v>
      </c>
      <c r="Q52" s="12" t="n">
        <v>150</v>
      </c>
      <c r="R52" s="11" t="n"/>
      <c r="S52" s="13" t="n"/>
      <c r="T52" s="10" t="n">
        <v>15</v>
      </c>
      <c r="U52" s="11" t="n"/>
      <c r="V52" s="11" t="inlineStr">
        <is>
          <t>Available</t>
        </is>
      </c>
      <c r="W52" s="11" t="n"/>
      <c r="X52" s="11" t="n"/>
      <c r="Y52" s="10" t="n"/>
      <c r="Z52" s="10" t="n"/>
      <c r="AA52" s="14">
        <f>IF(AND(N(Y52)&gt;0,N(Z52)&gt;0),ROUND(43560/(Y52*Z52),0),"")</f>
        <v/>
      </c>
      <c r="AB52" s="10" t="n"/>
      <c r="AC52" s="10" t="inlineStr">
        <is>
          <t>Full sun</t>
        </is>
      </c>
      <c r="AD52" s="11" t="n"/>
      <c r="AE52" s="10" t="inlineStr">
        <is>
          <t>20°C to 40 °C</t>
        </is>
      </c>
      <c r="AF52" s="10" t="inlineStr">
        <is>
          <t>Medium tree</t>
        </is>
      </c>
      <c r="AG52" s="10" t="inlineStr">
        <is>
          <t>2 years</t>
        </is>
      </c>
      <c r="AH52" s="10" t="inlineStr">
        <is>
          <t>250 to 350 oranges per tree</t>
        </is>
      </c>
      <c r="AI52" s="10" t="inlineStr">
        <is>
          <t>Year round</t>
        </is>
      </c>
      <c r="AJ52" s="10" t="inlineStr">
        <is>
          <t>80gms to 150gms</t>
        </is>
      </c>
      <c r="AK52" s="11" t="n"/>
      <c r="AL52" s="11" t="n"/>
      <c r="AM52" s="11" t="n"/>
      <c r="AN52" s="11" t="n"/>
      <c r="AO52" s="11" t="n"/>
      <c r="AP52" s="11" t="n"/>
      <c r="AQ52" s="11" t="n"/>
      <c r="AR52" s="10" t="inlineStr">
        <is>
          <t>https://hasiruagro.com/wp-content/uploads/2023/07/China-OrangeFruit-image-Hasiruagro.webp</t>
        </is>
      </c>
      <c r="AS52" s="11" t="n"/>
      <c r="AT52" s="11" t="n"/>
    </row>
    <row r="53">
      <c r="A53" s="10" t="inlineStr">
        <is>
          <t>HA0049</t>
        </is>
      </c>
      <c r="B53" s="10" t="inlineStr">
        <is>
          <t>Cinnamon</t>
        </is>
      </c>
      <c r="C53" s="11" t="n"/>
      <c r="D53" s="10" t="inlineStr">
        <is>
          <t>Spices</t>
        </is>
      </c>
      <c r="E53" s="11" t="inlineStr">
        <is>
          <t>Other Plants</t>
        </is>
      </c>
      <c r="F53" s="11" t="inlineStr">
        <is>
          <t>Spices</t>
        </is>
      </c>
      <c r="G53" s="11" t="inlineStr">
        <is>
          <t>Yes</t>
        </is>
      </c>
      <c r="H53" s="11" t="inlineStr">
        <is>
          <t>No</t>
        </is>
      </c>
      <c r="I53" s="10" t="inlineStr">
        <is>
          <t>Seeded</t>
        </is>
      </c>
      <c r="J53" s="11" t="n"/>
      <c r="K53" s="11" t="n"/>
      <c r="L53" s="11" t="n"/>
      <c r="M53" s="11" t="n"/>
      <c r="N53" s="11" t="n"/>
      <c r="O53" s="12" t="n">
        <v>320</v>
      </c>
      <c r="P53" s="12" t="n">
        <v>225</v>
      </c>
      <c r="Q53" s="12" t="n">
        <v>60</v>
      </c>
      <c r="R53" s="11" t="n"/>
      <c r="S53" s="13" t="n"/>
      <c r="T53" s="10" t="n">
        <v>0</v>
      </c>
      <c r="U53" s="11" t="n"/>
      <c r="V53" s="11" t="inlineStr">
        <is>
          <t>Out of Stock</t>
        </is>
      </c>
      <c r="W53" s="11" t="n"/>
      <c r="X53" s="11" t="n"/>
      <c r="Y53" s="10" t="n"/>
      <c r="Z53" s="10" t="n"/>
      <c r="AA53" s="14">
        <f>IF(AND(N(Y53)&gt;0,N(Z53)&gt;0),ROUND(43560/(Y53*Z53),0),"")</f>
        <v/>
      </c>
      <c r="AB53" s="10" t="inlineStr">
        <is>
          <t>Small tree</t>
        </is>
      </c>
      <c r="AC53" s="10" t="inlineStr">
        <is>
          <t>Full sun or Partial shade</t>
        </is>
      </c>
      <c r="AD53" s="11" t="n"/>
      <c r="AE53" s="10" t="inlineStr">
        <is>
          <t>16°C to 35°C</t>
        </is>
      </c>
      <c r="AF53" s="10" t="inlineStr">
        <is>
          <t>Small tree</t>
        </is>
      </c>
      <c r="AG53" s="10" t="inlineStr">
        <is>
          <t>8 to 10 years</t>
        </is>
      </c>
      <c r="AH53" s="10" t="inlineStr">
        <is>
          <t>200Kgs to 250Kgs</t>
        </is>
      </c>
      <c r="AI53" s="10" t="inlineStr">
        <is>
          <t>September to November</t>
        </is>
      </c>
      <c r="AJ53" s="10" t="inlineStr">
        <is>
          <t>(Bark size)3cms to 5cms</t>
        </is>
      </c>
      <c r="AK53" s="11" t="n"/>
      <c r="AL53" s="11" t="n"/>
      <c r="AM53" s="11" t="n"/>
      <c r="AN53" s="11" t="n"/>
      <c r="AO53" s="11" t="n"/>
      <c r="AP53" s="11" t="n"/>
      <c r="AQ53" s="11" t="n"/>
      <c r="AR53" s="10" t="inlineStr">
        <is>
          <t>https://hasiruagro.com/wp-content/uploads/2023/08/Cinnamon-F.jpg</t>
        </is>
      </c>
      <c r="AS53" s="11" t="n"/>
      <c r="AT53" s="11" t="n"/>
    </row>
    <row r="54">
      <c r="A54" s="10" t="inlineStr">
        <is>
          <t>HA0050</t>
        </is>
      </c>
      <c r="B54" s="10" t="inlineStr">
        <is>
          <t>Clove</t>
        </is>
      </c>
      <c r="C54" s="11" t="n"/>
      <c r="D54" s="10" t="inlineStr">
        <is>
          <t>Spices</t>
        </is>
      </c>
      <c r="E54" s="11" t="inlineStr">
        <is>
          <t>Other Plants</t>
        </is>
      </c>
      <c r="F54" s="11" t="inlineStr">
        <is>
          <t>Spices</t>
        </is>
      </c>
      <c r="G54" s="11" t="inlineStr">
        <is>
          <t>Yes</t>
        </is>
      </c>
      <c r="H54" s="11" t="inlineStr">
        <is>
          <t>No</t>
        </is>
      </c>
      <c r="I54" s="10" t="inlineStr">
        <is>
          <t>Seeded</t>
        </is>
      </c>
      <c r="J54" s="11" t="n"/>
      <c r="K54" s="11" t="n"/>
      <c r="L54" s="11" t="n"/>
      <c r="M54" s="11" t="n"/>
      <c r="N54" s="11" t="n"/>
      <c r="O54" s="12" t="n">
        <v>320</v>
      </c>
      <c r="P54" s="12" t="n">
        <v>225</v>
      </c>
      <c r="Q54" s="12" t="n">
        <v>60</v>
      </c>
      <c r="R54" s="11" t="n"/>
      <c r="S54" s="13" t="n"/>
      <c r="T54" s="10" t="n">
        <v>0</v>
      </c>
      <c r="U54" s="11" t="n"/>
      <c r="V54" s="11" t="inlineStr">
        <is>
          <t>Out of Stock</t>
        </is>
      </c>
      <c r="W54" s="11" t="n"/>
      <c r="X54" s="11" t="n"/>
      <c r="Y54" s="10" t="n"/>
      <c r="Z54" s="10" t="n"/>
      <c r="AA54" s="14">
        <f>IF(AND(N(Y54)&gt;0,N(Z54)&gt;0),ROUND(43560/(Y54*Z54),0),"")</f>
        <v/>
      </c>
      <c r="AB54" s="10" t="inlineStr">
        <is>
          <t>Medium tree</t>
        </is>
      </c>
      <c r="AC54" s="10" t="inlineStr">
        <is>
          <t>Full shade</t>
        </is>
      </c>
      <c r="AD54" s="11" t="n"/>
      <c r="AE54" s="10" t="inlineStr">
        <is>
          <t>16°C to 35°C</t>
        </is>
      </c>
      <c r="AF54" s="10" t="inlineStr">
        <is>
          <t>Medium tree</t>
        </is>
      </c>
      <c r="AG54" s="10" t="inlineStr">
        <is>
          <t>3 years</t>
        </is>
      </c>
      <c r="AH54" s="10" t="inlineStr">
        <is>
          <t>4Kgs to 8Kgs</t>
        </is>
      </c>
      <c r="AI54" s="10" t="inlineStr">
        <is>
          <t>September to February</t>
        </is>
      </c>
      <c r="AJ54" s="10" t="inlineStr">
        <is>
          <t>2gms to 4gms</t>
        </is>
      </c>
      <c r="AK54" s="11" t="n"/>
      <c r="AL54" s="11" t="n"/>
      <c r="AM54" s="11" t="n"/>
      <c r="AN54" s="11" t="n"/>
      <c r="AO54" s="11" t="n"/>
      <c r="AP54" s="11" t="n"/>
      <c r="AQ54" s="11" t="n"/>
      <c r="AR54" s="10" t="inlineStr">
        <is>
          <t>https://hasiruagro.com/wp-content/uploads/2023/08/Clove-F.jpg</t>
        </is>
      </c>
      <c r="AS54" s="11" t="n"/>
      <c r="AT54" s="11" t="n"/>
    </row>
    <row r="55">
      <c r="A55" s="10" t="inlineStr">
        <is>
          <t>HA0051</t>
        </is>
      </c>
      <c r="B55" s="10" t="inlineStr">
        <is>
          <t>Cocoa</t>
        </is>
      </c>
      <c r="C55" s="11" t="n"/>
      <c r="D55" s="10" t="inlineStr">
        <is>
          <t>Plantation</t>
        </is>
      </c>
      <c r="E55" s="11" t="inlineStr">
        <is>
          <t>Other Plants</t>
        </is>
      </c>
      <c r="F55" s="11" t="inlineStr">
        <is>
          <t>Plantation</t>
        </is>
      </c>
      <c r="G55" s="11" t="inlineStr">
        <is>
          <t>Yes</t>
        </is>
      </c>
      <c r="H55" s="11" t="inlineStr">
        <is>
          <t>No</t>
        </is>
      </c>
      <c r="I55" s="10" t="inlineStr">
        <is>
          <t>Seeded</t>
        </is>
      </c>
      <c r="J55" s="11" t="n"/>
      <c r="K55" s="11" t="n"/>
      <c r="L55" s="11" t="n"/>
      <c r="M55" s="11" t="n"/>
      <c r="N55" s="11" t="n"/>
      <c r="O55" s="12" t="n">
        <v>260</v>
      </c>
      <c r="P55" s="12" t="n">
        <v>180</v>
      </c>
      <c r="Q55" s="12" t="n">
        <v>30</v>
      </c>
      <c r="R55" s="11" t="n"/>
      <c r="S55" s="13" t="n"/>
      <c r="T55" s="10" t="n">
        <v>0</v>
      </c>
      <c r="U55" s="11" t="n"/>
      <c r="V55" s="11" t="inlineStr">
        <is>
          <t>Out of Stock</t>
        </is>
      </c>
      <c r="W55" s="11" t="n"/>
      <c r="X55" s="11" t="n"/>
      <c r="Y55" s="10" t="n">
        <v>20</v>
      </c>
      <c r="Z55" s="10" t="n">
        <v>20</v>
      </c>
      <c r="AA55" s="14">
        <f>IF(AND(N(Y55)&gt;0,N(Z55)&gt;0),ROUND(43560/(Y55*Z55),0),"")</f>
        <v/>
      </c>
      <c r="AB55" s="10" t="inlineStr">
        <is>
          <t>20ft x 20ft</t>
        </is>
      </c>
      <c r="AC55" s="10" t="inlineStr">
        <is>
          <t>Partial shade</t>
        </is>
      </c>
      <c r="AD55" s="11" t="n"/>
      <c r="AE55" s="10" t="inlineStr">
        <is>
          <t>20°C to 35°C</t>
        </is>
      </c>
      <c r="AF55" s="10" t="inlineStr">
        <is>
          <t>40ft to 60ft</t>
        </is>
      </c>
      <c r="AG55" s="10" t="inlineStr">
        <is>
          <t>4 years</t>
        </is>
      </c>
      <c r="AH55" s="10" t="inlineStr">
        <is>
          <t>30 to 60 pods per year</t>
        </is>
      </c>
      <c r="AI55" s="10" t="inlineStr">
        <is>
          <t>September to December</t>
        </is>
      </c>
      <c r="AJ55" s="10" t="n"/>
      <c r="AK55" s="11" t="n"/>
      <c r="AL55" s="11" t="n"/>
      <c r="AM55" s="11" t="n"/>
      <c r="AN55" s="11" t="n"/>
      <c r="AO55" s="11" t="n"/>
      <c r="AP55" s="11" t="n"/>
      <c r="AQ55" s="11" t="n"/>
      <c r="AR55" s="10" t="inlineStr">
        <is>
          <t>https://hasiruagro.com/wp-content/uploads/2023/08/Cocoa.jpg</t>
        </is>
      </c>
      <c r="AS55" s="11" t="n"/>
      <c r="AT55" s="11" t="n"/>
    </row>
    <row r="56">
      <c r="A56" s="10" t="inlineStr">
        <is>
          <t>HA0052</t>
        </is>
      </c>
      <c r="B56" s="10" t="inlineStr">
        <is>
          <t>Coconut Channaraypatna</t>
        </is>
      </c>
      <c r="C56" s="11" t="n"/>
      <c r="D56" s="10" t="inlineStr">
        <is>
          <t>Plantation</t>
        </is>
      </c>
      <c r="E56" s="11" t="inlineStr">
        <is>
          <t>Other Plants</t>
        </is>
      </c>
      <c r="F56" s="11" t="inlineStr">
        <is>
          <t>Plantation</t>
        </is>
      </c>
      <c r="G56" s="11" t="inlineStr">
        <is>
          <t>Yes</t>
        </is>
      </c>
      <c r="H56" s="11" t="inlineStr">
        <is>
          <t>No</t>
        </is>
      </c>
      <c r="I56" s="10" t="inlineStr">
        <is>
          <t>Seeded</t>
        </is>
      </c>
      <c r="J56" s="11" t="n"/>
      <c r="K56" s="11" t="n"/>
      <c r="L56" s="11" t="n"/>
      <c r="M56" s="11" t="n"/>
      <c r="N56" s="11" t="n"/>
      <c r="O56" s="12" t="n">
        <v>700</v>
      </c>
      <c r="P56" s="12" t="n">
        <v>490</v>
      </c>
      <c r="Q56" s="12" t="n">
        <v>250</v>
      </c>
      <c r="R56" s="11" t="n"/>
      <c r="S56" s="13" t="n"/>
      <c r="T56" s="10" t="n">
        <v>0</v>
      </c>
      <c r="U56" s="11" t="n"/>
      <c r="V56" s="11" t="inlineStr">
        <is>
          <t>Out of Stock</t>
        </is>
      </c>
      <c r="W56" s="11" t="n"/>
      <c r="X56" s="11" t="n"/>
      <c r="Y56" s="10" t="n">
        <v>25</v>
      </c>
      <c r="Z56" s="10" t="n">
        <v>25</v>
      </c>
      <c r="AA56" s="14">
        <f>IF(AND(N(Y56)&gt;0,N(Z56)&gt;0),ROUND(43560/(Y56*Z56),0),"")</f>
        <v/>
      </c>
      <c r="AB56" s="10" t="inlineStr">
        <is>
          <t>25ft x 25ft</t>
        </is>
      </c>
      <c r="AC56" s="10" t="inlineStr">
        <is>
          <t>Full sun</t>
        </is>
      </c>
      <c r="AD56" s="11" t="n"/>
      <c r="AE56" s="10" t="inlineStr">
        <is>
          <t>20°C to 35°C</t>
        </is>
      </c>
      <c r="AF56" s="10" t="inlineStr">
        <is>
          <t>40ft to 60ft</t>
        </is>
      </c>
      <c r="AG56" s="10" t="inlineStr">
        <is>
          <t>4 years</t>
        </is>
      </c>
      <c r="AH56" s="10" t="inlineStr">
        <is>
          <t>50 to 100 nuts per year</t>
        </is>
      </c>
      <c r="AI56" s="10" t="inlineStr">
        <is>
          <t>Year round</t>
        </is>
      </c>
      <c r="AJ56" s="10" t="n"/>
      <c r="AK56" s="11" t="n"/>
      <c r="AL56" s="11" t="n"/>
      <c r="AM56" s="11" t="n"/>
      <c r="AN56" s="11" t="n"/>
      <c r="AO56" s="11" t="n"/>
      <c r="AP56" s="11" t="n"/>
      <c r="AQ56" s="11" t="n"/>
      <c r="AR56" s="10" t="inlineStr">
        <is>
          <t>https://hasiruagro.com/wp-content/uploads/2023/08/Coconut-channarayapatna-fruit-fruit-image-Hasiruagro.jpg</t>
        </is>
      </c>
      <c r="AS56" s="11" t="n"/>
      <c r="AT56" s="11" t="n"/>
    </row>
    <row r="57">
      <c r="A57" s="10" t="inlineStr">
        <is>
          <t>HA0053</t>
        </is>
      </c>
      <c r="B57" s="10" t="inlineStr">
        <is>
          <t>Coconut Tiptur Tall</t>
        </is>
      </c>
      <c r="C57" s="11" t="n"/>
      <c r="D57" s="10" t="inlineStr">
        <is>
          <t>Plantation</t>
        </is>
      </c>
      <c r="E57" s="11" t="inlineStr">
        <is>
          <t>Other Plants</t>
        </is>
      </c>
      <c r="F57" s="11" t="inlineStr">
        <is>
          <t>Plantation</t>
        </is>
      </c>
      <c r="G57" s="11" t="inlineStr">
        <is>
          <t>Yes</t>
        </is>
      </c>
      <c r="H57" s="11" t="inlineStr">
        <is>
          <t>No</t>
        </is>
      </c>
      <c r="I57" s="10" t="inlineStr">
        <is>
          <t>Seeded</t>
        </is>
      </c>
      <c r="J57" s="11" t="n"/>
      <c r="K57" s="11" t="n"/>
      <c r="L57" s="11" t="n"/>
      <c r="M57" s="11" t="n"/>
      <c r="N57" s="11" t="n"/>
      <c r="O57" s="12" t="n">
        <v>600</v>
      </c>
      <c r="P57" s="12" t="n">
        <v>420</v>
      </c>
      <c r="Q57" s="12" t="n">
        <v>200</v>
      </c>
      <c r="R57" s="11" t="n"/>
      <c r="S57" s="13" t="n"/>
      <c r="T57" s="10" t="n">
        <v>0</v>
      </c>
      <c r="U57" s="11" t="n"/>
      <c r="V57" s="11" t="inlineStr">
        <is>
          <t>Out of Stock</t>
        </is>
      </c>
      <c r="W57" s="11" t="n"/>
      <c r="X57" s="11" t="n"/>
      <c r="Y57" s="10" t="n">
        <v>25</v>
      </c>
      <c r="Z57" s="10" t="n">
        <v>25</v>
      </c>
      <c r="AA57" s="14">
        <f>IF(AND(N(Y57)&gt;0,N(Z57)&gt;0),ROUND(43560/(Y57*Z57),0),"")</f>
        <v/>
      </c>
      <c r="AB57" s="10" t="inlineStr">
        <is>
          <t>25ft x 25ft</t>
        </is>
      </c>
      <c r="AC57" s="10" t="inlineStr">
        <is>
          <t>Full sun</t>
        </is>
      </c>
      <c r="AD57" s="11" t="n"/>
      <c r="AE57" s="10" t="inlineStr">
        <is>
          <t>20°C to 35°C</t>
        </is>
      </c>
      <c r="AF57" s="10" t="inlineStr">
        <is>
          <t>40ft to 60ft</t>
        </is>
      </c>
      <c r="AG57" s="10" t="inlineStr">
        <is>
          <t>4 years</t>
        </is>
      </c>
      <c r="AH57" s="10" t="inlineStr">
        <is>
          <t>50 to 100 nuts per year</t>
        </is>
      </c>
      <c r="AI57" s="10" t="inlineStr">
        <is>
          <t>Year round</t>
        </is>
      </c>
      <c r="AJ57" s="10" t="n"/>
      <c r="AK57" s="11" t="n"/>
      <c r="AL57" s="11" t="n"/>
      <c r="AM57" s="11" t="n"/>
      <c r="AN57" s="11" t="n"/>
      <c r="AO57" s="11" t="n"/>
      <c r="AP57" s="11" t="n"/>
      <c r="AQ57" s="11" t="n"/>
      <c r="AR57" s="10" t="inlineStr">
        <is>
          <t>https://hasiruagro.com/wp-content/uploads/2023/08/Coconut-Tiptur-Tall.jpg</t>
        </is>
      </c>
      <c r="AS57" s="11" t="n"/>
      <c r="AT57" s="11" t="n"/>
    </row>
    <row r="58">
      <c r="A58" s="10" t="inlineStr">
        <is>
          <t>HA0054</t>
        </is>
      </c>
      <c r="B58" s="10" t="inlineStr">
        <is>
          <t>Coffee (Robusta)</t>
        </is>
      </c>
      <c r="C58" s="11" t="n"/>
      <c r="D58" s="10" t="inlineStr">
        <is>
          <t>Plantation</t>
        </is>
      </c>
      <c r="E58" s="11" t="inlineStr">
        <is>
          <t>Other Plants</t>
        </is>
      </c>
      <c r="F58" s="11" t="inlineStr">
        <is>
          <t>Plantation</t>
        </is>
      </c>
      <c r="G58" s="11" t="inlineStr">
        <is>
          <t>Yes</t>
        </is>
      </c>
      <c r="H58" s="11" t="inlineStr">
        <is>
          <t>No</t>
        </is>
      </c>
      <c r="I58" s="10" t="inlineStr">
        <is>
          <t>Seeded</t>
        </is>
      </c>
      <c r="J58" s="11" t="n"/>
      <c r="K58" s="11" t="n"/>
      <c r="L58" s="11" t="n"/>
      <c r="M58" s="11" t="n"/>
      <c r="N58" s="11" t="n"/>
      <c r="O58" s="12" t="n">
        <v>260</v>
      </c>
      <c r="P58" s="12" t="n">
        <v>180</v>
      </c>
      <c r="Q58" s="12" t="n">
        <v>30</v>
      </c>
      <c r="R58" s="11" t="n"/>
      <c r="S58" s="13" t="n"/>
      <c r="T58" s="10" t="n">
        <v>0</v>
      </c>
      <c r="U58" s="11" t="n"/>
      <c r="V58" s="11" t="inlineStr">
        <is>
          <t>Out of Stock</t>
        </is>
      </c>
      <c r="W58" s="11" t="n"/>
      <c r="X58" s="11" t="n"/>
      <c r="Y58" s="10" t="n">
        <v>10</v>
      </c>
      <c r="Z58" s="10" t="n">
        <v>10</v>
      </c>
      <c r="AA58" s="14">
        <f>IF(AND(N(Y58)&gt;0,N(Z58)&gt;0),ROUND(43560/(Y58*Z58),0),"")</f>
        <v/>
      </c>
      <c r="AB58" s="10" t="inlineStr">
        <is>
          <t>10ft x 10ft</t>
        </is>
      </c>
      <c r="AC58" s="10" t="inlineStr">
        <is>
          <t>Partial shade</t>
        </is>
      </c>
      <c r="AD58" s="11" t="n"/>
      <c r="AE58" s="10" t="inlineStr">
        <is>
          <t>20°C to 35°C</t>
        </is>
      </c>
      <c r="AF58" s="10" t="inlineStr">
        <is>
          <t>5ft to 6ft</t>
        </is>
      </c>
      <c r="AG58" s="10" t="inlineStr">
        <is>
          <t>4 years</t>
        </is>
      </c>
      <c r="AH58" s="10" t="inlineStr">
        <is>
          <t>2Kgs to 3Kgs</t>
        </is>
      </c>
      <c r="AI58" s="10" t="inlineStr">
        <is>
          <t>Alternative seasonsAugust and September in plain land regions and in malnad areas during December and January.</t>
        </is>
      </c>
      <c r="AJ58" s="10" t="n"/>
      <c r="AK58" s="11" t="n"/>
      <c r="AL58" s="11" t="n"/>
      <c r="AM58" s="11" t="n"/>
      <c r="AN58" s="11" t="n"/>
      <c r="AO58" s="11" t="n"/>
      <c r="AP58" s="11" t="n"/>
      <c r="AQ58" s="11" t="n"/>
      <c r="AR58" s="10" t="inlineStr">
        <is>
          <t>https://hasiruagro.com/wp-content/uploads/2023/08/Coffee-Robusta.jpg</t>
        </is>
      </c>
      <c r="AS58" s="11" t="n"/>
      <c r="AT58" s="11" t="n"/>
    </row>
    <row r="59">
      <c r="A59" s="10" t="inlineStr">
        <is>
          <t>HA0055</t>
        </is>
      </c>
      <c r="B59" s="10" t="inlineStr">
        <is>
          <t>Custard apple</t>
        </is>
      </c>
      <c r="C59" s="11" t="n"/>
      <c r="D59" s="10" t="inlineStr">
        <is>
          <t>Desi Fruits</t>
        </is>
      </c>
      <c r="E59" s="11" t="inlineStr">
        <is>
          <t>Fruiting Trees</t>
        </is>
      </c>
      <c r="F59" s="11" t="inlineStr">
        <is>
          <t>Desi</t>
        </is>
      </c>
      <c r="G59" s="11" t="inlineStr">
        <is>
          <t>Yes</t>
        </is>
      </c>
      <c r="H59" s="11" t="inlineStr">
        <is>
          <t>No</t>
        </is>
      </c>
      <c r="I59" s="10" t="inlineStr">
        <is>
          <t>Grafted</t>
        </is>
      </c>
      <c r="J59" s="11" t="n"/>
      <c r="K59" s="11" t="n"/>
      <c r="L59" s="11" t="n"/>
      <c r="M59" s="11" t="n"/>
      <c r="N59" s="11" t="n"/>
      <c r="O59" s="12" t="n">
        <v>400</v>
      </c>
      <c r="P59" s="12" t="n">
        <v>280</v>
      </c>
      <c r="Q59" s="12" t="n">
        <v>100</v>
      </c>
      <c r="R59" s="11" t="n"/>
      <c r="S59" s="13" t="n"/>
      <c r="T59" s="10" t="n">
        <v>0</v>
      </c>
      <c r="U59" s="11" t="n"/>
      <c r="V59" s="11" t="inlineStr">
        <is>
          <t>Out of Stock</t>
        </is>
      </c>
      <c r="W59" s="11" t="n"/>
      <c r="X59" s="11" t="n"/>
      <c r="Y59" s="10" t="n">
        <v>18</v>
      </c>
      <c r="Z59" s="10" t="n">
        <v>18</v>
      </c>
      <c r="AA59" s="14">
        <f>IF(AND(N(Y59)&gt;0,N(Z59)&gt;0),ROUND(43560/(Y59*Z59),0),"")</f>
        <v/>
      </c>
      <c r="AB59" s="10" t="inlineStr">
        <is>
          <t>18ft x 18ft</t>
        </is>
      </c>
      <c r="AC59" s="10" t="inlineStr">
        <is>
          <t>Open sun</t>
        </is>
      </c>
      <c r="AD59" s="11" t="n"/>
      <c r="AE59" s="10" t="inlineStr">
        <is>
          <t>20°C to 40 °C</t>
        </is>
      </c>
      <c r="AF59" s="10" t="inlineStr">
        <is>
          <t>Medium sized tree</t>
        </is>
      </c>
      <c r="AG59" s="10" t="inlineStr">
        <is>
          <t>2 years</t>
        </is>
      </c>
      <c r="AH59" s="10" t="inlineStr">
        <is>
          <t>60Kg to 100Kg</t>
        </is>
      </c>
      <c r="AI59" s="10" t="inlineStr">
        <is>
          <t>April to MayAugust to September</t>
        </is>
      </c>
      <c r="AJ59" s="10" t="inlineStr">
        <is>
          <t>150 gm to 350gm</t>
        </is>
      </c>
      <c r="AK59" s="11" t="n"/>
      <c r="AL59" s="11" t="n"/>
      <c r="AM59" s="11" t="n"/>
      <c r="AN59" s="11" t="n"/>
      <c r="AO59" s="11" t="n"/>
      <c r="AP59" s="11" t="n"/>
      <c r="AQ59" s="11" t="n"/>
      <c r="AR59" s="10" t="inlineStr">
        <is>
          <t>https://hasiruagro.com/wp-content/uploads/2023/08/Custard-Apple-F.jpg</t>
        </is>
      </c>
      <c r="AS59" s="11" t="n"/>
      <c r="AT59" s="11" t="n"/>
    </row>
    <row r="60">
      <c r="A60" s="10" t="inlineStr">
        <is>
          <t>HA0056</t>
        </is>
      </c>
      <c r="B60" s="10" t="inlineStr">
        <is>
          <t>Dang Surya Jackfruit</t>
        </is>
      </c>
      <c r="C60" s="11" t="n"/>
      <c r="D60" s="10" t="inlineStr">
        <is>
          <t>Desi Fruits</t>
        </is>
      </c>
      <c r="E60" s="11" t="inlineStr">
        <is>
          <t>Fruiting Trees</t>
        </is>
      </c>
      <c r="F60" s="11" t="inlineStr">
        <is>
          <t>Desi</t>
        </is>
      </c>
      <c r="G60" s="11" t="inlineStr">
        <is>
          <t>Yes</t>
        </is>
      </c>
      <c r="H60" s="11" t="inlineStr">
        <is>
          <t>No</t>
        </is>
      </c>
      <c r="I60" s="10" t="inlineStr">
        <is>
          <t>Grafted</t>
        </is>
      </c>
      <c r="J60" s="11" t="n"/>
      <c r="K60" s="11" t="n"/>
      <c r="L60" s="11" t="n"/>
      <c r="M60" s="11" t="n"/>
      <c r="N60" s="11" t="n"/>
      <c r="O60" s="12" t="n">
        <v>1225</v>
      </c>
      <c r="P60" s="12" t="n">
        <v>490</v>
      </c>
      <c r="Q60" s="12" t="n">
        <v>260</v>
      </c>
      <c r="R60" s="11" t="n"/>
      <c r="S60" s="13" t="n"/>
      <c r="T60" s="10" t="n">
        <v>0</v>
      </c>
      <c r="U60" s="11" t="n"/>
      <c r="V60" s="11" t="inlineStr">
        <is>
          <t>Out of Stock</t>
        </is>
      </c>
      <c r="W60" s="11" t="n"/>
      <c r="X60" s="11" t="n"/>
      <c r="Y60" s="10" t="n">
        <v>20</v>
      </c>
      <c r="Z60" s="10" t="n">
        <v>20</v>
      </c>
      <c r="AA60" s="14">
        <f>IF(AND(N(Y60)&gt;0,N(Z60)&gt;0),ROUND(43560/(Y60*Z60),0),"")</f>
        <v/>
      </c>
      <c r="AB60" s="10" t="inlineStr">
        <is>
          <t>20ft x 20ft</t>
        </is>
      </c>
      <c r="AC60" s="10" t="inlineStr">
        <is>
          <t>Open sun</t>
        </is>
      </c>
      <c r="AD60" s="11" t="n"/>
      <c r="AE60" s="10" t="inlineStr">
        <is>
          <t>20°C to 40 °C</t>
        </is>
      </c>
      <c r="AF60" s="10" t="inlineStr">
        <is>
          <t>Big tree</t>
        </is>
      </c>
      <c r="AG60" s="10" t="inlineStr">
        <is>
          <t>2 years</t>
        </is>
      </c>
      <c r="AH60" s="10" t="inlineStr">
        <is>
          <t>150 to 200 fruits</t>
        </is>
      </c>
      <c r="AI60" s="10" t="inlineStr">
        <is>
          <t>July to December</t>
        </is>
      </c>
      <c r="AJ60" s="10" t="inlineStr">
        <is>
          <t>Medium to Large</t>
        </is>
      </c>
      <c r="AK60" s="11" t="n"/>
      <c r="AL60" s="11" t="n"/>
      <c r="AM60" s="11" t="n"/>
      <c r="AN60" s="11" t="n"/>
      <c r="AO60" s="11" t="n"/>
      <c r="AP60" s="11" t="n"/>
      <c r="AQ60" s="11" t="n"/>
      <c r="AR60" s="10" t="inlineStr">
        <is>
          <t>https://hasiruagro.com/wp-content/uploads/2023/07/Dang-Suriya-F-Jackfruit.webp</t>
        </is>
      </c>
      <c r="AS60" s="11" t="n"/>
      <c r="AT60" s="11" t="n"/>
    </row>
    <row r="61">
      <c r="A61" s="10" t="inlineStr">
        <is>
          <t>HA0057</t>
        </is>
      </c>
      <c r="B61" s="10" t="inlineStr">
        <is>
          <t>Darjeeling orange</t>
        </is>
      </c>
      <c r="C61" s="11" t="n"/>
      <c r="D61" s="10" t="inlineStr">
        <is>
          <t>Desi Fruits</t>
        </is>
      </c>
      <c r="E61" s="11" t="inlineStr">
        <is>
          <t>Fruiting Trees</t>
        </is>
      </c>
      <c r="F61" s="11" t="inlineStr">
        <is>
          <t>Desi</t>
        </is>
      </c>
      <c r="G61" s="11" t="inlineStr">
        <is>
          <t>Yes</t>
        </is>
      </c>
      <c r="H61" s="11" t="inlineStr">
        <is>
          <t>No</t>
        </is>
      </c>
      <c r="I61" s="10" t="n"/>
      <c r="J61" s="11" t="n"/>
      <c r="K61" s="11" t="n"/>
      <c r="L61" s="11" t="n"/>
      <c r="M61" s="11" t="n"/>
      <c r="N61" s="11" t="n"/>
      <c r="O61" s="12" t="n">
        <v>500</v>
      </c>
      <c r="P61" s="12" t="n">
        <v>350</v>
      </c>
      <c r="Q61" s="12" t="n">
        <v>150</v>
      </c>
      <c r="R61" s="11" t="n"/>
      <c r="S61" s="13" t="n"/>
      <c r="T61" s="10" t="n">
        <v>24</v>
      </c>
      <c r="U61" s="11" t="n"/>
      <c r="V61" s="11" t="inlineStr">
        <is>
          <t>Available</t>
        </is>
      </c>
      <c r="W61" s="11" t="n"/>
      <c r="X61" s="11" t="n"/>
      <c r="Y61" s="10" t="n">
        <v>18</v>
      </c>
      <c r="Z61" s="10" t="n">
        <v>18</v>
      </c>
      <c r="AA61" s="14">
        <f>IF(AND(N(Y61)&gt;0,N(Z61)&gt;0),ROUND(43560/(Y61*Z61),0),"")</f>
        <v/>
      </c>
      <c r="AB61" s="10" t="inlineStr">
        <is>
          <t>18ft x 18ft</t>
        </is>
      </c>
      <c r="AC61" s="10" t="inlineStr">
        <is>
          <t>Open sun</t>
        </is>
      </c>
      <c r="AD61" s="11" t="n"/>
      <c r="AE61" s="10" t="inlineStr">
        <is>
          <t>15°C to 35 °C</t>
        </is>
      </c>
      <c r="AF61" s="10" t="inlineStr">
        <is>
          <t>Small tree</t>
        </is>
      </c>
      <c r="AG61" s="10" t="inlineStr">
        <is>
          <t>2 years</t>
        </is>
      </c>
      <c r="AH61" s="10" t="inlineStr">
        <is>
          <t>300 to 500 fruits</t>
        </is>
      </c>
      <c r="AI61" s="10" t="inlineStr">
        <is>
          <t>September to February</t>
        </is>
      </c>
      <c r="AJ61" s="10" t="inlineStr">
        <is>
          <t>50gm to 100gm</t>
        </is>
      </c>
      <c r="AK61" s="11" t="n"/>
      <c r="AL61" s="11" t="n"/>
      <c r="AM61" s="11" t="n"/>
      <c r="AN61" s="11" t="n"/>
      <c r="AO61" s="11" t="n"/>
      <c r="AP61" s="11" t="n"/>
      <c r="AQ61" s="11" t="n"/>
      <c r="AR61" s="10" t="inlineStr">
        <is>
          <t>https://hasiruagro.com/wp-content/uploads/2023/07/Darjeeling-orange.webp</t>
        </is>
      </c>
      <c r="AS61" s="11" t="n"/>
      <c r="AT61" s="11" t="n"/>
    </row>
    <row r="62">
      <c r="A62" s="10" t="inlineStr">
        <is>
          <t>HA0058</t>
        </is>
      </c>
      <c r="B62" s="10" t="inlineStr">
        <is>
          <t>Dasheri Mango</t>
        </is>
      </c>
      <c r="C62" s="11" t="n"/>
      <c r="D62" s="10" t="inlineStr">
        <is>
          <t>Desi Fruits</t>
        </is>
      </c>
      <c r="E62" s="11" t="inlineStr">
        <is>
          <t>Fruiting Trees</t>
        </is>
      </c>
      <c r="F62" s="11" t="inlineStr">
        <is>
          <t>Desi</t>
        </is>
      </c>
      <c r="G62" s="11" t="inlineStr">
        <is>
          <t>Yes</t>
        </is>
      </c>
      <c r="H62" s="11" t="inlineStr">
        <is>
          <t>No</t>
        </is>
      </c>
      <c r="I62" s="10" t="inlineStr">
        <is>
          <t>Grafted</t>
        </is>
      </c>
      <c r="J62" s="11" t="n"/>
      <c r="K62" s="11" t="n"/>
      <c r="L62" s="11" t="n"/>
      <c r="M62" s="11" t="n"/>
      <c r="N62" s="11" t="n"/>
      <c r="O62" s="12" t="n">
        <v>700</v>
      </c>
      <c r="P62" s="12" t="n">
        <v>490</v>
      </c>
      <c r="Q62" s="12" t="n">
        <v>300</v>
      </c>
      <c r="R62" s="11" t="n"/>
      <c r="S62" s="13" t="n"/>
      <c r="T62" s="10" t="n">
        <v>0</v>
      </c>
      <c r="U62" s="11" t="n"/>
      <c r="V62" s="11" t="inlineStr">
        <is>
          <t>Out of Stock</t>
        </is>
      </c>
      <c r="W62" s="11" t="n"/>
      <c r="X62" s="11" t="n"/>
      <c r="Y62" s="10" t="n">
        <v>18</v>
      </c>
      <c r="Z62" s="10" t="n">
        <v>18</v>
      </c>
      <c r="AA62" s="14">
        <f>IF(AND(N(Y62)&gt;0,N(Z62)&gt;0),ROUND(43560/(Y62*Z62),0),"")</f>
        <v/>
      </c>
      <c r="AB62" s="10" t="inlineStr">
        <is>
          <t>18ft x 18ft</t>
        </is>
      </c>
      <c r="AC62" s="10" t="inlineStr">
        <is>
          <t>Open sun</t>
        </is>
      </c>
      <c r="AD62" s="11" t="n"/>
      <c r="AE62" s="10" t="inlineStr">
        <is>
          <t>20°C to 40 °C</t>
        </is>
      </c>
      <c r="AF62" s="10" t="inlineStr">
        <is>
          <t>Medium sized tree</t>
        </is>
      </c>
      <c r="AG62" s="10" t="inlineStr">
        <is>
          <t>2 years</t>
        </is>
      </c>
      <c r="AH62" s="10" t="inlineStr">
        <is>
          <t>300 to 500 fruits</t>
        </is>
      </c>
      <c r="AI62" s="10" t="inlineStr">
        <is>
          <t>April to August</t>
        </is>
      </c>
      <c r="AJ62" s="10" t="inlineStr">
        <is>
          <t>100gm to 150gm</t>
        </is>
      </c>
      <c r="AK62" s="11" t="n"/>
      <c r="AL62" s="11" t="n"/>
      <c r="AM62" s="11" t="n"/>
      <c r="AN62" s="11" t="n"/>
      <c r="AO62" s="11" t="n"/>
      <c r="AP62" s="11" t="n"/>
      <c r="AQ62" s="11" t="n"/>
      <c r="AR62" s="10" t="inlineStr">
        <is>
          <t>https://hasiruagro.com/wp-content/uploads/2023/08/Dasheri-Mango-Fruit-fruit-image-Hasiruagro.jpg</t>
        </is>
      </c>
      <c r="AS62" s="11" t="n"/>
      <c r="AT62" s="11" t="n"/>
    </row>
    <row r="63">
      <c r="A63" s="10" t="inlineStr">
        <is>
          <t>HA0059</t>
        </is>
      </c>
      <c r="B63" s="10" t="inlineStr">
        <is>
          <t>Date Palm</t>
        </is>
      </c>
      <c r="C63" s="11" t="n"/>
      <c r="D63" s="10" t="inlineStr">
        <is>
          <t>Exotic fruits</t>
        </is>
      </c>
      <c r="E63" s="11" t="inlineStr">
        <is>
          <t>Fruiting Trees</t>
        </is>
      </c>
      <c r="F63" s="11" t="inlineStr">
        <is>
          <t>Exotic</t>
        </is>
      </c>
      <c r="G63" s="11" t="inlineStr">
        <is>
          <t>Yes</t>
        </is>
      </c>
      <c r="H63" s="11" t="inlineStr">
        <is>
          <t>No</t>
        </is>
      </c>
      <c r="I63" s="10" t="inlineStr">
        <is>
          <t>Seeded</t>
        </is>
      </c>
      <c r="J63" s="11" t="n"/>
      <c r="K63" s="11" t="n"/>
      <c r="L63" s="11" t="n"/>
      <c r="M63" s="11" t="n"/>
      <c r="N63" s="11" t="n"/>
      <c r="O63" s="12" t="n">
        <v>700</v>
      </c>
      <c r="P63" s="12" t="n">
        <v>490</v>
      </c>
      <c r="Q63" s="12" t="n">
        <v>250</v>
      </c>
      <c r="R63" s="11" t="n"/>
      <c r="S63" s="13" t="n"/>
      <c r="T63" s="10" t="n">
        <v>0</v>
      </c>
      <c r="U63" s="11" t="n"/>
      <c r="V63" s="11" t="inlineStr">
        <is>
          <t>Out of Stock</t>
        </is>
      </c>
      <c r="W63" s="11" t="n"/>
      <c r="X63" s="11" t="n"/>
      <c r="Y63" s="10" t="n"/>
      <c r="Z63" s="10" t="n"/>
      <c r="AA63" s="14">
        <f>IF(AND(N(Y63)&gt;0,N(Z63)&gt;0),ROUND(43560/(Y63*Z63),0),"")</f>
        <v/>
      </c>
      <c r="AB63" s="10" t="n"/>
      <c r="AC63" s="10" t="inlineStr">
        <is>
          <t>Full sun</t>
        </is>
      </c>
      <c r="AD63" s="11" t="n"/>
      <c r="AE63" s="10" t="inlineStr">
        <is>
          <t>20°C to 40 °C</t>
        </is>
      </c>
      <c r="AF63" s="10" t="inlineStr">
        <is>
          <t>Big tree</t>
        </is>
      </c>
      <c r="AG63" s="10" t="inlineStr">
        <is>
          <t>5 years</t>
        </is>
      </c>
      <c r="AH63" s="10" t="inlineStr">
        <is>
          <t>100Kgs to 125Kgs per tree</t>
        </is>
      </c>
      <c r="AI63" s="10" t="inlineStr">
        <is>
          <t>May to September</t>
        </is>
      </c>
      <c r="AJ63" s="10" t="inlineStr">
        <is>
          <t>70gms to 100gms</t>
        </is>
      </c>
      <c r="AK63" s="11" t="n"/>
      <c r="AL63" s="11" t="n"/>
      <c r="AM63" s="11" t="n"/>
      <c r="AN63" s="11" t="n"/>
      <c r="AO63" s="11" t="n"/>
      <c r="AP63" s="11" t="n"/>
      <c r="AQ63" s="11" t="n"/>
      <c r="AR63" s="10" t="inlineStr">
        <is>
          <t>https://hasiruagro.com/wp-content/uploads/2023/08/Date-Palm.jpg</t>
        </is>
      </c>
      <c r="AS63" s="11" t="n"/>
      <c r="AT63" s="11" t="n"/>
    </row>
    <row r="64">
      <c r="A64" s="10" t="inlineStr">
        <is>
          <t>HA0060</t>
        </is>
      </c>
      <c r="B64" s="10" t="inlineStr">
        <is>
          <t>Sweet Red Dragonfruit Plants - Jumbo</t>
        </is>
      </c>
      <c r="C64" s="11" t="n"/>
      <c r="D64" s="10" t="inlineStr">
        <is>
          <t>Exotic fruits</t>
        </is>
      </c>
      <c r="E64" s="11" t="inlineStr">
        <is>
          <t>Fruiting Trees</t>
        </is>
      </c>
      <c r="F64" s="11" t="inlineStr">
        <is>
          <t>Exotic</t>
        </is>
      </c>
      <c r="G64" s="11" t="inlineStr">
        <is>
          <t>Yes</t>
        </is>
      </c>
      <c r="H64" s="11" t="inlineStr">
        <is>
          <t>No</t>
        </is>
      </c>
      <c r="I64" s="10" t="inlineStr">
        <is>
          <t>Stem cuttings</t>
        </is>
      </c>
      <c r="J64" s="11" t="n"/>
      <c r="K64" s="11" t="n"/>
      <c r="L64" s="11" t="n"/>
      <c r="M64" s="11" t="n"/>
      <c r="N64" s="11" t="n"/>
      <c r="O64" s="12" t="n">
        <v>360</v>
      </c>
      <c r="P64" s="12" t="n">
        <v>250</v>
      </c>
      <c r="Q64" s="12" t="n">
        <v>80</v>
      </c>
      <c r="R64" s="11" t="n"/>
      <c r="S64" s="13" t="n"/>
      <c r="T64" s="10" t="n">
        <v>0</v>
      </c>
      <c r="U64" s="11" t="n"/>
      <c r="V64" s="11" t="inlineStr">
        <is>
          <t>Out of Stock</t>
        </is>
      </c>
      <c r="W64" s="11" t="n"/>
      <c r="X64" s="11" t="n"/>
      <c r="Y64" s="10" t="n">
        <v>11</v>
      </c>
      <c r="Z64" s="10" t="n">
        <v>7</v>
      </c>
      <c r="AA64" s="14">
        <f>IF(AND(N(Y64)&gt;0,N(Z64)&gt;0),ROUND(43560/(Y64*Z64),0),"")</f>
        <v/>
      </c>
      <c r="AB64" s="10" t="inlineStr">
        <is>
          <t>11ft x 7ft</t>
        </is>
      </c>
      <c r="AC64" s="10" t="inlineStr">
        <is>
          <t>Full sun</t>
        </is>
      </c>
      <c r="AD64" s="11" t="n"/>
      <c r="AE64" s="10" t="inlineStr">
        <is>
          <t>25°C to 40°C</t>
        </is>
      </c>
      <c r="AF64" s="10" t="inlineStr">
        <is>
          <t>Creeper/Climber</t>
        </is>
      </c>
      <c r="AG64" s="10" t="inlineStr">
        <is>
          <t>14 months from planting</t>
        </is>
      </c>
      <c r="AH64" s="10" t="inlineStr">
        <is>
          <t>35Kg-40Kg</t>
        </is>
      </c>
      <c r="AI64" s="10" t="inlineStr">
        <is>
          <t>June - December</t>
        </is>
      </c>
      <c r="AJ64" s="10" t="inlineStr">
        <is>
          <t>400gm to 650gm</t>
        </is>
      </c>
      <c r="AK64" s="11" t="n"/>
      <c r="AL64" s="11" t="n"/>
      <c r="AM64" s="11" t="n"/>
      <c r="AN64" s="11" t="n"/>
      <c r="AO64" s="11" t="n"/>
      <c r="AP64" s="11" t="n"/>
      <c r="AQ64" s="11" t="n"/>
      <c r="AR64" s="10" t="inlineStr">
        <is>
          <t>https://hasiruagro.com/wp-content/uploads/2024/03/Sweet-Red-Dragonfruit-plants-Jumbo-Hasiruagro.jpg</t>
        </is>
      </c>
      <c r="AS64" s="11" t="n"/>
      <c r="AT64" s="11" t="n"/>
    </row>
    <row r="65">
      <c r="A65" s="10" t="inlineStr">
        <is>
          <t>HA0061</t>
        </is>
      </c>
      <c r="B65" s="10" t="inlineStr">
        <is>
          <t>Dragon fruit Pink</t>
        </is>
      </c>
      <c r="C65" s="11" t="n"/>
      <c r="D65" s="10" t="inlineStr">
        <is>
          <t>Exotic fruits</t>
        </is>
      </c>
      <c r="E65" s="11" t="inlineStr">
        <is>
          <t>Fruiting Trees</t>
        </is>
      </c>
      <c r="F65" s="11" t="inlineStr">
        <is>
          <t>Exotic</t>
        </is>
      </c>
      <c r="G65" s="11" t="inlineStr">
        <is>
          <t>Yes</t>
        </is>
      </c>
      <c r="H65" s="11" t="inlineStr">
        <is>
          <t>No</t>
        </is>
      </c>
      <c r="I65" s="10" t="inlineStr">
        <is>
          <t>Stem cuttings</t>
        </is>
      </c>
      <c r="J65" s="11" t="n"/>
      <c r="K65" s="11" t="n"/>
      <c r="L65" s="11" t="n"/>
      <c r="M65" s="11" t="n"/>
      <c r="N65" s="11" t="n"/>
      <c r="O65" s="12" t="n">
        <v>320</v>
      </c>
      <c r="P65" s="12" t="n">
        <v>225</v>
      </c>
      <c r="Q65" s="12" t="n">
        <v>60</v>
      </c>
      <c r="R65" s="11" t="n"/>
      <c r="S65" s="13" t="n"/>
      <c r="T65" s="10" t="n">
        <v>0</v>
      </c>
      <c r="U65" s="11" t="n"/>
      <c r="V65" s="11" t="inlineStr">
        <is>
          <t>Out of Stock</t>
        </is>
      </c>
      <c r="W65" s="11" t="n"/>
      <c r="X65" s="11" t="n"/>
      <c r="Y65" s="10" t="n">
        <v>11</v>
      </c>
      <c r="Z65" s="10" t="n">
        <v>7</v>
      </c>
      <c r="AA65" s="14">
        <f>IF(AND(N(Y65)&gt;0,N(Z65)&gt;0),ROUND(43560/(Y65*Z65),0),"")</f>
        <v/>
      </c>
      <c r="AB65" s="10" t="inlineStr">
        <is>
          <t>11ft x 7ft</t>
        </is>
      </c>
      <c r="AC65" s="10" t="inlineStr">
        <is>
          <t>Full sun</t>
        </is>
      </c>
      <c r="AD65" s="11" t="n"/>
      <c r="AE65" s="10" t="inlineStr">
        <is>
          <t>25°C to 40°C</t>
        </is>
      </c>
      <c r="AF65" s="10" t="inlineStr">
        <is>
          <t>Creeper/Climber</t>
        </is>
      </c>
      <c r="AG65" s="10" t="inlineStr">
        <is>
          <t>14 months from planting</t>
        </is>
      </c>
      <c r="AH65" s="10" t="inlineStr">
        <is>
          <t>25Kg-30Kg</t>
        </is>
      </c>
      <c r="AI65" s="10" t="inlineStr">
        <is>
          <t>June - December</t>
        </is>
      </c>
      <c r="AJ65" s="10" t="inlineStr">
        <is>
          <t>150gm to 350gm</t>
        </is>
      </c>
      <c r="AK65" s="11" t="n"/>
      <c r="AL65" s="11" t="n"/>
      <c r="AM65" s="11" t="n"/>
      <c r="AN65" s="11" t="n"/>
      <c r="AO65" s="11" t="n"/>
      <c r="AP65" s="11" t="n"/>
      <c r="AQ65" s="11" t="n"/>
      <c r="AR65" s="10" t="inlineStr">
        <is>
          <t>https://hasiruagro.com/wp-content/uploads/2023/08/Dragon-fruit-PinkFruit-image-Hasiruagro.jpg</t>
        </is>
      </c>
      <c r="AS65" s="11" t="n"/>
      <c r="AT65" s="11" t="n"/>
    </row>
    <row r="66">
      <c r="A66" s="10" t="inlineStr">
        <is>
          <t>HA0062</t>
        </is>
      </c>
      <c r="B66" s="10" t="inlineStr">
        <is>
          <t>Dragon fruit White</t>
        </is>
      </c>
      <c r="C66" s="11" t="n"/>
      <c r="D66" s="10" t="inlineStr">
        <is>
          <t>Exotic fruits</t>
        </is>
      </c>
      <c r="E66" s="11" t="inlineStr">
        <is>
          <t>Fruiting Trees</t>
        </is>
      </c>
      <c r="F66" s="11" t="inlineStr">
        <is>
          <t>Exotic</t>
        </is>
      </c>
      <c r="G66" s="11" t="inlineStr">
        <is>
          <t>Yes</t>
        </is>
      </c>
      <c r="H66" s="11" t="inlineStr">
        <is>
          <t>No</t>
        </is>
      </c>
      <c r="I66" s="10" t="inlineStr">
        <is>
          <t>Stem cuttings</t>
        </is>
      </c>
      <c r="J66" s="11" t="n"/>
      <c r="K66" s="11" t="n"/>
      <c r="L66" s="11" t="n"/>
      <c r="M66" s="11" t="n"/>
      <c r="N66" s="11" t="n"/>
      <c r="O66" s="12" t="n">
        <v>300</v>
      </c>
      <c r="P66" s="12" t="n">
        <v>210</v>
      </c>
      <c r="Q66" s="12" t="n">
        <v>50</v>
      </c>
      <c r="R66" s="11" t="n"/>
      <c r="S66" s="13" t="n"/>
      <c r="T66" s="10" t="n">
        <v>0</v>
      </c>
      <c r="U66" s="11" t="n"/>
      <c r="V66" s="11" t="inlineStr">
        <is>
          <t>Out of Stock</t>
        </is>
      </c>
      <c r="W66" s="11" t="n"/>
      <c r="X66" s="11" t="n"/>
      <c r="Y66" s="10" t="n">
        <v>11</v>
      </c>
      <c r="Z66" s="10" t="n">
        <v>7</v>
      </c>
      <c r="AA66" s="14">
        <f>IF(AND(N(Y66)&gt;0,N(Z66)&gt;0),ROUND(43560/(Y66*Z66),0),"")</f>
        <v/>
      </c>
      <c r="AB66" s="10" t="inlineStr">
        <is>
          <t>11ft x 7ft</t>
        </is>
      </c>
      <c r="AC66" s="10" t="inlineStr">
        <is>
          <t>Full sun</t>
        </is>
      </c>
      <c r="AD66" s="11" t="n"/>
      <c r="AE66" s="10" t="inlineStr">
        <is>
          <t>25°C to 40°C</t>
        </is>
      </c>
      <c r="AF66" s="10" t="inlineStr">
        <is>
          <t>Creeper/Climber</t>
        </is>
      </c>
      <c r="AG66" s="10" t="inlineStr">
        <is>
          <t>14 months from planting</t>
        </is>
      </c>
      <c r="AH66" s="10" t="inlineStr">
        <is>
          <t>35Kg-40Kg</t>
        </is>
      </c>
      <c r="AI66" s="10" t="inlineStr">
        <is>
          <t>June - December</t>
        </is>
      </c>
      <c r="AJ66" s="10" t="inlineStr">
        <is>
          <t>250gm to 500gm</t>
        </is>
      </c>
      <c r="AK66" s="11" t="n"/>
      <c r="AL66" s="11" t="n"/>
      <c r="AM66" s="11" t="n"/>
      <c r="AN66" s="11" t="n"/>
      <c r="AO66" s="11" t="n"/>
      <c r="AP66" s="11" t="n"/>
      <c r="AQ66" s="11" t="n"/>
      <c r="AR66" s="10" t="inlineStr">
        <is>
          <t>https://hasiruagro.com/wp-content/uploads/2023/08/Dragon-Fruit-F.jpg</t>
        </is>
      </c>
      <c r="AS66" s="11" t="n"/>
      <c r="AT66" s="11" t="n"/>
    </row>
    <row r="67">
      <c r="A67" s="10" t="inlineStr">
        <is>
          <t>HA0063</t>
        </is>
      </c>
      <c r="B67" s="10" t="inlineStr">
        <is>
          <t>Early dwarf white Jamun</t>
        </is>
      </c>
      <c r="C67" s="11" t="n"/>
      <c r="D67" s="10" t="inlineStr">
        <is>
          <t>Exotic fruits</t>
        </is>
      </c>
      <c r="E67" s="11" t="inlineStr">
        <is>
          <t>Fruiting Trees</t>
        </is>
      </c>
      <c r="F67" s="11" t="inlineStr">
        <is>
          <t>Exotic</t>
        </is>
      </c>
      <c r="G67" s="11" t="inlineStr">
        <is>
          <t>Yes</t>
        </is>
      </c>
      <c r="H67" s="11" t="inlineStr">
        <is>
          <t>No</t>
        </is>
      </c>
      <c r="I67" s="10" t="inlineStr">
        <is>
          <t>Grafted</t>
        </is>
      </c>
      <c r="J67" s="11" t="n"/>
      <c r="K67" s="11" t="n"/>
      <c r="L67" s="11" t="n"/>
      <c r="M67" s="11" t="n"/>
      <c r="N67" s="11" t="n"/>
      <c r="O67" s="12" t="n">
        <v>500</v>
      </c>
      <c r="P67" s="12" t="n">
        <v>350</v>
      </c>
      <c r="Q67" s="12" t="n">
        <v>150</v>
      </c>
      <c r="R67" s="11" t="n"/>
      <c r="S67" s="13" t="n"/>
      <c r="T67" s="10" t="n">
        <v>69</v>
      </c>
      <c r="U67" s="11" t="n"/>
      <c r="V67" s="11" t="inlineStr">
        <is>
          <t>Available</t>
        </is>
      </c>
      <c r="W67" s="11" t="n"/>
      <c r="X67" s="11" t="n"/>
      <c r="Y67" s="10" t="n"/>
      <c r="Z67" s="10" t="n"/>
      <c r="AA67" s="14">
        <f>IF(AND(N(Y67)&gt;0,N(Z67)&gt;0),ROUND(43560/(Y67*Z67),0),"")</f>
        <v/>
      </c>
      <c r="AB67" s="10" t="n"/>
      <c r="AC67" s="10" t="inlineStr">
        <is>
          <t>Full sun</t>
        </is>
      </c>
      <c r="AD67" s="11" t="n"/>
      <c r="AE67" s="10" t="inlineStr">
        <is>
          <t>20°C to 40 °C</t>
        </is>
      </c>
      <c r="AF67" s="10" t="inlineStr">
        <is>
          <t>Medium to big tree</t>
        </is>
      </c>
      <c r="AG67" s="10" t="inlineStr">
        <is>
          <t>2 years</t>
        </is>
      </c>
      <c r="AH67" s="10" t="inlineStr">
        <is>
          <t>60Kgs to 70Kgs</t>
        </is>
      </c>
      <c r="AI67" s="10" t="inlineStr">
        <is>
          <t>June to July</t>
        </is>
      </c>
      <c r="AJ67" s="10" t="inlineStr">
        <is>
          <t>200gms to 300gms</t>
        </is>
      </c>
      <c r="AK67" s="11" t="n"/>
      <c r="AL67" s="11" t="n"/>
      <c r="AM67" s="11" t="n"/>
      <c r="AN67" s="11" t="n"/>
      <c r="AO67" s="11" t="n"/>
      <c r="AP67" s="11" t="n"/>
      <c r="AQ67" s="11" t="n"/>
      <c r="AR67" s="10" t="inlineStr">
        <is>
          <t>https://hasiruagro.com/wp-content/uploads/2023/08/Early-dwarf-white-Jamun.jpg</t>
        </is>
      </c>
      <c r="AS67" s="11" t="n"/>
      <c r="AT67" s="11" t="n"/>
    </row>
    <row r="68">
      <c r="A68" s="10" t="inlineStr">
        <is>
          <t>HA0064</t>
        </is>
      </c>
      <c r="B68" s="10" t="inlineStr">
        <is>
          <t>Egg fruit</t>
        </is>
      </c>
      <c r="C68" s="11" t="n"/>
      <c r="D68" s="10" t="inlineStr">
        <is>
          <t>Exotic fruits</t>
        </is>
      </c>
      <c r="E68" s="11" t="inlineStr">
        <is>
          <t>Fruiting Trees</t>
        </is>
      </c>
      <c r="F68" s="11" t="inlineStr">
        <is>
          <t>Exotic</t>
        </is>
      </c>
      <c r="G68" s="11" t="inlineStr">
        <is>
          <t>Yes</t>
        </is>
      </c>
      <c r="H68" s="11" t="inlineStr">
        <is>
          <t>No</t>
        </is>
      </c>
      <c r="I68" s="10" t="inlineStr">
        <is>
          <t>Seeded</t>
        </is>
      </c>
      <c r="J68" s="11" t="n"/>
      <c r="K68" s="11" t="n"/>
      <c r="L68" s="11" t="n"/>
      <c r="M68" s="11" t="n"/>
      <c r="N68" s="11" t="n"/>
      <c r="O68" s="12" t="n">
        <v>500</v>
      </c>
      <c r="P68" s="12" t="n">
        <v>350</v>
      </c>
      <c r="Q68" s="12" t="n">
        <v>200</v>
      </c>
      <c r="R68" s="11" t="n"/>
      <c r="S68" s="13" t="n"/>
      <c r="T68" s="10" t="n">
        <v>0</v>
      </c>
      <c r="U68" s="11" t="n"/>
      <c r="V68" s="11" t="inlineStr">
        <is>
          <t>Out of Stock</t>
        </is>
      </c>
      <c r="W68" s="11" t="n"/>
      <c r="X68" s="11" t="n"/>
      <c r="Y68" s="10" t="n"/>
      <c r="Z68" s="10" t="n"/>
      <c r="AA68" s="14">
        <f>IF(AND(N(Y68)&gt;0,N(Z68)&gt;0),ROUND(43560/(Y68*Z68),0),"")</f>
        <v/>
      </c>
      <c r="AB68" s="10" t="n"/>
      <c r="AC68" s="10" t="inlineStr">
        <is>
          <t>Full sun</t>
        </is>
      </c>
      <c r="AD68" s="11" t="n"/>
      <c r="AE68" s="10" t="inlineStr">
        <is>
          <t>20°C to 35°C</t>
        </is>
      </c>
      <c r="AF68" s="10" t="inlineStr">
        <is>
          <t>Small to medium sized tree</t>
        </is>
      </c>
      <c r="AG68" s="10" t="inlineStr">
        <is>
          <t>4 years</t>
        </is>
      </c>
      <c r="AH68" s="10" t="inlineStr">
        <is>
          <t>40Kgs to 80Kgs per tree</t>
        </is>
      </c>
      <c r="AI68" s="10" t="inlineStr">
        <is>
          <t>May to August</t>
        </is>
      </c>
      <c r="AJ68" s="10" t="inlineStr">
        <is>
          <t>50gm to 100gm</t>
        </is>
      </c>
      <c r="AK68" s="11" t="n"/>
      <c r="AL68" s="11" t="n"/>
      <c r="AM68" s="11" t="n"/>
      <c r="AN68" s="11" t="n"/>
      <c r="AO68" s="11" t="n"/>
      <c r="AP68" s="11" t="n"/>
      <c r="AQ68" s="11" t="n"/>
      <c r="AR68" s="10" t="inlineStr">
        <is>
          <t>https://hasiruagro.com/wp-content/uploads/2023/08/Egg-Fruit-F.jpg</t>
        </is>
      </c>
      <c r="AS68" s="11" t="n"/>
      <c r="AT68" s="11" t="n"/>
    </row>
    <row r="69">
      <c r="A69" s="10" t="inlineStr">
        <is>
          <t>HA0065</t>
        </is>
      </c>
      <c r="B69" s="10" t="inlineStr">
        <is>
          <t>Finger lime</t>
        </is>
      </c>
      <c r="C69" s="11" t="n"/>
      <c r="D69" s="10" t="inlineStr">
        <is>
          <t>Exotic fruits</t>
        </is>
      </c>
      <c r="E69" s="11" t="inlineStr">
        <is>
          <t>Fruiting Trees</t>
        </is>
      </c>
      <c r="F69" s="11" t="inlineStr">
        <is>
          <t>Exotic</t>
        </is>
      </c>
      <c r="G69" s="11" t="inlineStr">
        <is>
          <t>Yes</t>
        </is>
      </c>
      <c r="H69" s="11" t="inlineStr">
        <is>
          <t>No</t>
        </is>
      </c>
      <c r="I69" s="10" t="inlineStr">
        <is>
          <t>Seeded</t>
        </is>
      </c>
      <c r="J69" s="11" t="n"/>
      <c r="K69" s="11" t="n"/>
      <c r="L69" s="11" t="n"/>
      <c r="M69" s="11" t="n"/>
      <c r="N69" s="11" t="n"/>
      <c r="O69" s="12" t="n">
        <v>600</v>
      </c>
      <c r="P69" s="12" t="n">
        <v>420</v>
      </c>
      <c r="Q69" s="12" t="n">
        <v>200</v>
      </c>
      <c r="R69" s="11" t="n"/>
      <c r="S69" s="13" t="n"/>
      <c r="T69" s="10" t="n">
        <v>0</v>
      </c>
      <c r="U69" s="11" t="n"/>
      <c r="V69" s="11" t="inlineStr">
        <is>
          <t>Out of Stock</t>
        </is>
      </c>
      <c r="W69" s="11" t="n"/>
      <c r="X69" s="11" t="n"/>
      <c r="Y69" s="10" t="n"/>
      <c r="Z69" s="10" t="n"/>
      <c r="AA69" s="14">
        <f>IF(AND(N(Y69)&gt;0,N(Z69)&gt;0),ROUND(43560/(Y69*Z69),0),"")</f>
        <v/>
      </c>
      <c r="AB69" s="10" t="n"/>
      <c r="AC69" s="10" t="inlineStr">
        <is>
          <t>Partial shade</t>
        </is>
      </c>
      <c r="AD69" s="11" t="n"/>
      <c r="AE69" s="10" t="inlineStr">
        <is>
          <t>20°C to 40 °C</t>
        </is>
      </c>
      <c r="AF69" s="10" t="inlineStr">
        <is>
          <t>Bush or small tree</t>
        </is>
      </c>
      <c r="AG69" s="10" t="inlineStr">
        <is>
          <t>2 years</t>
        </is>
      </c>
      <c r="AH69" s="10" t="inlineStr">
        <is>
          <t>1000 to 1500 lemons per tree</t>
        </is>
      </c>
      <c r="AI69" s="10" t="e">
        <v>#VALUE!</v>
      </c>
      <c r="AJ69" s="10" t="inlineStr">
        <is>
          <t>50gms</t>
        </is>
      </c>
      <c r="AK69" s="11" t="n"/>
      <c r="AL69" s="11" t="n"/>
      <c r="AM69" s="11" t="n"/>
      <c r="AN69" s="11" t="n"/>
      <c r="AO69" s="11" t="n"/>
      <c r="AP69" s="11" t="n"/>
      <c r="AQ69" s="11" t="n"/>
      <c r="AR69" s="10" t="inlineStr">
        <is>
          <t>https://hasiruagro.com/wp-content/uploads/2023/08/finger-limeFruit-image-Hasiruagro.jpg</t>
        </is>
      </c>
      <c r="AS69" s="11" t="n"/>
      <c r="AT69" s="11" t="n"/>
    </row>
    <row r="70">
      <c r="A70" s="10" t="inlineStr">
        <is>
          <t>HA0066</t>
        </is>
      </c>
      <c r="B70" s="10" t="inlineStr">
        <is>
          <t>Grapes Mango</t>
        </is>
      </c>
      <c r="C70" s="11" t="n"/>
      <c r="D70" s="10" t="inlineStr">
        <is>
          <t>Exotic fruits</t>
        </is>
      </c>
      <c r="E70" s="11" t="inlineStr">
        <is>
          <t>Fruiting Trees</t>
        </is>
      </c>
      <c r="F70" s="11" t="inlineStr">
        <is>
          <t>Exotic</t>
        </is>
      </c>
      <c r="G70" s="11" t="inlineStr">
        <is>
          <t>Yes</t>
        </is>
      </c>
      <c r="H70" s="11" t="inlineStr">
        <is>
          <t>No</t>
        </is>
      </c>
      <c r="I70" s="10" t="inlineStr">
        <is>
          <t>Grafted</t>
        </is>
      </c>
      <c r="J70" s="11" t="n"/>
      <c r="K70" s="11" t="n"/>
      <c r="L70" s="11" t="n"/>
      <c r="M70" s="11" t="n"/>
      <c r="N70" s="11" t="n"/>
      <c r="O70" s="12" t="n">
        <v>820</v>
      </c>
      <c r="P70" s="12" t="n">
        <v>575</v>
      </c>
      <c r="Q70" s="12" t="n">
        <v>260</v>
      </c>
      <c r="R70" s="11" t="n"/>
      <c r="S70" s="13" t="n"/>
      <c r="T70" s="10" t="n">
        <v>83</v>
      </c>
      <c r="U70" s="11" t="n"/>
      <c r="V70" s="11" t="inlineStr">
        <is>
          <t>Available</t>
        </is>
      </c>
      <c r="W70" s="11" t="n"/>
      <c r="X70" s="11" t="n"/>
      <c r="Y70" s="10" t="n"/>
      <c r="Z70" s="10" t="n"/>
      <c r="AA70" s="14">
        <f>IF(AND(N(Y70)&gt;0,N(Z70)&gt;0),ROUND(43560/(Y70*Z70),0),"")</f>
        <v/>
      </c>
      <c r="AB70" s="10" t="n"/>
      <c r="AC70" s="10" t="inlineStr">
        <is>
          <t>Full sun</t>
        </is>
      </c>
      <c r="AD70" s="11" t="n"/>
      <c r="AE70" s="10" t="inlineStr">
        <is>
          <t>20°C to 40 °C</t>
        </is>
      </c>
      <c r="AF70" s="10" t="inlineStr">
        <is>
          <t>Medium to big tree</t>
        </is>
      </c>
      <c r="AG70" s="10" t="inlineStr">
        <is>
          <t>2 years</t>
        </is>
      </c>
      <c r="AH70" s="10" t="inlineStr">
        <is>
          <t>80Kgs to 100Kgs per tree</t>
        </is>
      </c>
      <c r="AI70" s="10" t="inlineStr">
        <is>
          <t>March to June</t>
        </is>
      </c>
      <c r="AJ70" s="10" t="inlineStr">
        <is>
          <t>100gms to 150gms</t>
        </is>
      </c>
      <c r="AK70" s="11" t="n"/>
      <c r="AL70" s="11" t="n"/>
      <c r="AM70" s="11" t="n"/>
      <c r="AN70" s="11" t="n"/>
      <c r="AO70" s="11" t="n"/>
      <c r="AP70" s="11" t="n"/>
      <c r="AQ70" s="11" t="n"/>
      <c r="AR70" s="10" t="n"/>
      <c r="AS70" s="11" t="n"/>
      <c r="AT70" s="11" t="n"/>
    </row>
    <row r="71">
      <c r="A71" s="10" t="inlineStr">
        <is>
          <t>HA0067</t>
        </is>
      </c>
      <c r="B71" s="10" t="inlineStr">
        <is>
          <t>Guava L-49</t>
        </is>
      </c>
      <c r="C71" s="11" t="n"/>
      <c r="D71" s="10" t="inlineStr">
        <is>
          <t>Desi Fruits</t>
        </is>
      </c>
      <c r="E71" s="11" t="inlineStr">
        <is>
          <t>Fruiting Trees</t>
        </is>
      </c>
      <c r="F71" s="11" t="inlineStr">
        <is>
          <t>Desi</t>
        </is>
      </c>
      <c r="G71" s="11" t="inlineStr">
        <is>
          <t>Yes</t>
        </is>
      </c>
      <c r="H71" s="11" t="inlineStr">
        <is>
          <t>No</t>
        </is>
      </c>
      <c r="I71" s="10" t="inlineStr">
        <is>
          <t>Air layered</t>
        </is>
      </c>
      <c r="J71" s="11" t="n"/>
      <c r="K71" s="11" t="n"/>
      <c r="L71" s="11" t="n"/>
      <c r="M71" s="11" t="n"/>
      <c r="N71" s="11" t="n"/>
      <c r="O71" s="12" t="n">
        <v>440</v>
      </c>
      <c r="P71" s="12" t="n">
        <v>310</v>
      </c>
      <c r="Q71" s="12" t="n">
        <v>120</v>
      </c>
      <c r="R71" s="11" t="n"/>
      <c r="S71" s="13" t="n"/>
      <c r="T71" s="10" t="n">
        <v>0</v>
      </c>
      <c r="U71" s="11" t="n"/>
      <c r="V71" s="11" t="inlineStr">
        <is>
          <t>Out of Stock</t>
        </is>
      </c>
      <c r="W71" s="11" t="n"/>
      <c r="X71" s="11" t="n"/>
      <c r="Y71" s="10" t="n">
        <v>18</v>
      </c>
      <c r="Z71" s="10" t="n">
        <v>18</v>
      </c>
      <c r="AA71" s="14">
        <f>IF(AND(N(Y71)&gt;0,N(Z71)&gt;0),ROUND(43560/(Y71*Z71),0),"")</f>
        <v/>
      </c>
      <c r="AB71" s="10" t="inlineStr">
        <is>
          <t>18ft x 18ft</t>
        </is>
      </c>
      <c r="AC71" s="10" t="inlineStr">
        <is>
          <t>Full sun</t>
        </is>
      </c>
      <c r="AD71" s="11" t="n"/>
      <c r="AE71" s="10" t="inlineStr">
        <is>
          <t>20°C to 40 °C</t>
        </is>
      </c>
      <c r="AF71" s="10" t="inlineStr">
        <is>
          <t>Medium sized tree</t>
        </is>
      </c>
      <c r="AG71" s="10" t="inlineStr">
        <is>
          <t>2 years</t>
        </is>
      </c>
      <c r="AH71" s="10" t="inlineStr">
        <is>
          <t>30Kg to 70kg</t>
        </is>
      </c>
      <c r="AI71" s="10" t="inlineStr">
        <is>
          <t>Round the year</t>
        </is>
      </c>
      <c r="AJ71" s="10" t="inlineStr">
        <is>
          <t>150gms to 200gms</t>
        </is>
      </c>
      <c r="AK71" s="11" t="n"/>
      <c r="AL71" s="11" t="n"/>
      <c r="AM71" s="11" t="n"/>
      <c r="AN71" s="11" t="n"/>
      <c r="AO71" s="11" t="n"/>
      <c r="AP71" s="11" t="n"/>
      <c r="AQ71" s="11" t="n"/>
      <c r="AR71" s="10" t="inlineStr">
        <is>
          <t>https://hasiruagro.com/wp-content/uploads/2023/08/Guava-L-49-Fruit-fruit-image-Hasiruagro.jpg</t>
        </is>
      </c>
      <c r="AS71" s="11" t="n"/>
      <c r="AT71" s="11" t="n"/>
    </row>
    <row r="72">
      <c r="A72" s="10" t="inlineStr">
        <is>
          <t>HA0068</t>
        </is>
      </c>
      <c r="B72" s="10" t="inlineStr">
        <is>
          <t>Guava Taiwan Seedless</t>
        </is>
      </c>
      <c r="C72" s="11" t="n"/>
      <c r="D72" s="10" t="inlineStr">
        <is>
          <t>Desi Fruits</t>
        </is>
      </c>
      <c r="E72" s="11" t="inlineStr">
        <is>
          <t>Fruiting Trees</t>
        </is>
      </c>
      <c r="F72" s="11" t="inlineStr">
        <is>
          <t>Desi</t>
        </is>
      </c>
      <c r="G72" s="11" t="inlineStr">
        <is>
          <t>Yes</t>
        </is>
      </c>
      <c r="H72" s="11" t="inlineStr">
        <is>
          <t>No</t>
        </is>
      </c>
      <c r="I72" s="10" t="inlineStr">
        <is>
          <t>Air layered</t>
        </is>
      </c>
      <c r="J72" s="11" t="n"/>
      <c r="K72" s="11" t="n"/>
      <c r="L72" s="11" t="n"/>
      <c r="M72" s="11" t="n"/>
      <c r="N72" s="11" t="n"/>
      <c r="O72" s="12" t="n">
        <v>350</v>
      </c>
      <c r="P72" s="12" t="n">
        <v>245</v>
      </c>
      <c r="Q72" s="12" t="n">
        <v>150</v>
      </c>
      <c r="R72" s="11" t="n"/>
      <c r="S72" s="13" t="n"/>
      <c r="T72" s="10" t="n">
        <v>0</v>
      </c>
      <c r="U72" s="11" t="n"/>
      <c r="V72" s="11" t="inlineStr">
        <is>
          <t>Out of Stock</t>
        </is>
      </c>
      <c r="W72" s="11" t="n"/>
      <c r="X72" s="11" t="n"/>
      <c r="Y72" s="10" t="n">
        <v>18</v>
      </c>
      <c r="Z72" s="10" t="n">
        <v>18</v>
      </c>
      <c r="AA72" s="14">
        <f>IF(AND(N(Y72)&gt;0,N(Z72)&gt;0),ROUND(43560/(Y72*Z72),0),"")</f>
        <v/>
      </c>
      <c r="AB72" s="10" t="inlineStr">
        <is>
          <t>18ft x 18ft</t>
        </is>
      </c>
      <c r="AC72" s="10" t="inlineStr">
        <is>
          <t>Full sun</t>
        </is>
      </c>
      <c r="AD72" s="11" t="n"/>
      <c r="AE72" s="10" t="inlineStr">
        <is>
          <t>20°C to 40 °C</t>
        </is>
      </c>
      <c r="AF72" s="10" t="inlineStr">
        <is>
          <t>Medium sized tree</t>
        </is>
      </c>
      <c r="AG72" s="10" t="inlineStr">
        <is>
          <t>2 years</t>
        </is>
      </c>
      <c r="AH72" s="10" t="inlineStr">
        <is>
          <t>30Kg to 70kg</t>
        </is>
      </c>
      <c r="AI72" s="10" t="inlineStr">
        <is>
          <t>Round the year</t>
        </is>
      </c>
      <c r="AJ72" s="10" t="inlineStr">
        <is>
          <t>150gms to 200gms</t>
        </is>
      </c>
      <c r="AK72" s="11" t="n"/>
      <c r="AL72" s="11" t="n"/>
      <c r="AM72" s="11" t="n"/>
      <c r="AN72" s="11" t="n"/>
      <c r="AO72" s="11" t="n"/>
      <c r="AP72" s="11" t="n"/>
      <c r="AQ72" s="11" t="n"/>
      <c r="AR72" s="10" t="inlineStr">
        <is>
          <t>https://hasiruagro.com/wp-content/uploads/2023/08/Guava-Taiwan-Seedless-fruit-image-Hasiruagro.jpg</t>
        </is>
      </c>
      <c r="AS72" s="11" t="n"/>
      <c r="AT72" s="11" t="n"/>
    </row>
    <row r="73">
      <c r="A73" s="10" t="inlineStr">
        <is>
          <t>HA0070</t>
        </is>
      </c>
      <c r="B73" s="10" t="inlineStr">
        <is>
          <t>Gumless Jackfruit</t>
        </is>
      </c>
      <c r="C73" s="11" t="n"/>
      <c r="D73" s="10" t="inlineStr">
        <is>
          <t>Desi Fruits</t>
        </is>
      </c>
      <c r="E73" s="11" t="inlineStr">
        <is>
          <t>Fruiting Trees</t>
        </is>
      </c>
      <c r="F73" s="11" t="inlineStr">
        <is>
          <t>Desi</t>
        </is>
      </c>
      <c r="G73" s="11" t="inlineStr">
        <is>
          <t>Yes</t>
        </is>
      </c>
      <c r="H73" s="11" t="inlineStr">
        <is>
          <t>No</t>
        </is>
      </c>
      <c r="I73" s="10" t="inlineStr">
        <is>
          <t>Grafted</t>
        </is>
      </c>
      <c r="J73" s="11" t="n"/>
      <c r="K73" s="11" t="n"/>
      <c r="L73" s="11" t="n"/>
      <c r="M73" s="11" t="n"/>
      <c r="N73" s="11" t="n"/>
      <c r="O73" s="12" t="n">
        <v>1325</v>
      </c>
      <c r="P73" s="12" t="n">
        <v>530</v>
      </c>
      <c r="Q73" s="12" t="n">
        <v>300</v>
      </c>
      <c r="R73" s="11" t="n"/>
      <c r="S73" s="13" t="n"/>
      <c r="T73" s="10" t="n">
        <v>0</v>
      </c>
      <c r="U73" s="11" t="n"/>
      <c r="V73" s="11" t="inlineStr">
        <is>
          <t>Out of Stock</t>
        </is>
      </c>
      <c r="W73" s="11" t="n"/>
      <c r="X73" s="11" t="n"/>
      <c r="Y73" s="10" t="n">
        <v>20</v>
      </c>
      <c r="Z73" s="10" t="n">
        <v>20</v>
      </c>
      <c r="AA73" s="14">
        <f>IF(AND(N(Y73)&gt;0,N(Z73)&gt;0),ROUND(43560/(Y73*Z73),0),"")</f>
        <v/>
      </c>
      <c r="AB73" s="10" t="inlineStr">
        <is>
          <t>20ft x 20ft</t>
        </is>
      </c>
      <c r="AC73" s="10" t="inlineStr">
        <is>
          <t>Open sun</t>
        </is>
      </c>
      <c r="AD73" s="11" t="n"/>
      <c r="AE73" s="10" t="inlineStr">
        <is>
          <t>20°C to 40 °C</t>
        </is>
      </c>
      <c r="AF73" s="10" t="inlineStr">
        <is>
          <t>Big tree</t>
        </is>
      </c>
      <c r="AG73" s="10" t="inlineStr">
        <is>
          <t>2 years</t>
        </is>
      </c>
      <c r="AH73" s="10" t="inlineStr">
        <is>
          <t>150 to 200 fruits</t>
        </is>
      </c>
      <c r="AI73" s="10" t="inlineStr">
        <is>
          <t>July to December</t>
        </is>
      </c>
      <c r="AJ73" s="10" t="inlineStr">
        <is>
          <t>Medium to Large</t>
        </is>
      </c>
      <c r="AK73" s="11" t="n"/>
      <c r="AL73" s="11" t="n"/>
      <c r="AM73" s="11" t="n"/>
      <c r="AN73" s="11" t="n"/>
      <c r="AO73" s="11" t="n"/>
      <c r="AP73" s="11" t="n"/>
      <c r="AQ73" s="11" t="n"/>
      <c r="AR73" s="10" t="inlineStr">
        <is>
          <t>https://hasiruagro.com/wp-content/uploads/2023/07/Gumless-Jackfruit-F.webp</t>
        </is>
      </c>
      <c r="AS73" s="11" t="n"/>
      <c r="AT73" s="11" t="n"/>
    </row>
    <row r="74">
      <c r="A74" s="10" t="inlineStr">
        <is>
          <t>HA0071</t>
        </is>
      </c>
      <c r="B74" s="10" t="inlineStr">
        <is>
          <t>Hemachandra Jackfruit</t>
        </is>
      </c>
      <c r="C74" s="11" t="n"/>
      <c r="D74" s="10" t="inlineStr">
        <is>
          <t>Desi Fruits</t>
        </is>
      </c>
      <c r="E74" s="11" t="inlineStr">
        <is>
          <t>Fruiting Trees</t>
        </is>
      </c>
      <c r="F74" s="11" t="inlineStr">
        <is>
          <t>Desi</t>
        </is>
      </c>
      <c r="G74" s="11" t="inlineStr">
        <is>
          <t>Yes</t>
        </is>
      </c>
      <c r="H74" s="11" t="inlineStr">
        <is>
          <t>No</t>
        </is>
      </c>
      <c r="I74" s="10" t="inlineStr">
        <is>
          <t>Grafted</t>
        </is>
      </c>
      <c r="J74" s="11" t="n"/>
      <c r="K74" s="11" t="n"/>
      <c r="L74" s="11" t="n"/>
      <c r="M74" s="11" t="n"/>
      <c r="N74" s="11" t="n"/>
      <c r="O74" s="12" t="n">
        <v>1225</v>
      </c>
      <c r="P74" s="12" t="n">
        <v>490</v>
      </c>
      <c r="Q74" s="12" t="n">
        <v>260</v>
      </c>
      <c r="R74" s="11" t="n"/>
      <c r="S74" s="13" t="n"/>
      <c r="T74" s="10" t="n">
        <v>0</v>
      </c>
      <c r="U74" s="11" t="n"/>
      <c r="V74" s="11" t="inlineStr">
        <is>
          <t>Out of Stock</t>
        </is>
      </c>
      <c r="W74" s="11" t="n"/>
      <c r="X74" s="11" t="n"/>
      <c r="Y74" s="10" t="n">
        <v>20</v>
      </c>
      <c r="Z74" s="10" t="n">
        <v>20</v>
      </c>
      <c r="AA74" s="14">
        <f>IF(AND(N(Y74)&gt;0,N(Z74)&gt;0),ROUND(43560/(Y74*Z74),0),"")</f>
        <v/>
      </c>
      <c r="AB74" s="10" t="inlineStr">
        <is>
          <t>20ft x 20ft</t>
        </is>
      </c>
      <c r="AC74" s="10" t="inlineStr">
        <is>
          <t>Open sun</t>
        </is>
      </c>
      <c r="AD74" s="11" t="n"/>
      <c r="AE74" s="10" t="inlineStr">
        <is>
          <t>20°C to 40 °C</t>
        </is>
      </c>
      <c r="AF74" s="10" t="inlineStr">
        <is>
          <t>Big tree</t>
        </is>
      </c>
      <c r="AG74" s="10" t="inlineStr">
        <is>
          <t>2 years</t>
        </is>
      </c>
      <c r="AH74" s="10" t="inlineStr">
        <is>
          <t>150 to 200 fruits</t>
        </is>
      </c>
      <c r="AI74" s="10" t="inlineStr">
        <is>
          <t>July to December</t>
        </is>
      </c>
      <c r="AJ74" s="10" t="inlineStr">
        <is>
          <t>Medium to Large</t>
        </is>
      </c>
      <c r="AK74" s="11" t="n"/>
      <c r="AL74" s="11" t="n"/>
      <c r="AM74" s="11" t="n"/>
      <c r="AN74" s="11" t="n"/>
      <c r="AO74" s="11" t="n"/>
      <c r="AP74" s="11" t="n"/>
      <c r="AQ74" s="11" t="n"/>
      <c r="AR74" s="10" t="inlineStr">
        <is>
          <t>https://hasiruagro.com/wp-content/uploads/2023/07/Hemachandra-Jackfruit-fruit-imag.webp</t>
        </is>
      </c>
      <c r="AS74" s="11" t="n"/>
      <c r="AT74" s="11" t="n"/>
    </row>
    <row r="75">
      <c r="A75" s="10" t="inlineStr">
        <is>
          <t>HA0072</t>
        </is>
      </c>
      <c r="B75" s="10" t="inlineStr">
        <is>
          <t>Hing</t>
        </is>
      </c>
      <c r="C75" s="11" t="n"/>
      <c r="D75" s="10" t="inlineStr">
        <is>
          <t>Spices</t>
        </is>
      </c>
      <c r="E75" s="11" t="inlineStr">
        <is>
          <t>Other Plants</t>
        </is>
      </c>
      <c r="F75" s="11" t="inlineStr">
        <is>
          <t>Spices</t>
        </is>
      </c>
      <c r="G75" s="11" t="inlineStr">
        <is>
          <t>Yes</t>
        </is>
      </c>
      <c r="H75" s="11" t="inlineStr">
        <is>
          <t>No</t>
        </is>
      </c>
      <c r="I75" s="10" t="inlineStr">
        <is>
          <t>Seeded</t>
        </is>
      </c>
      <c r="J75" s="11" t="n"/>
      <c r="K75" s="11" t="n"/>
      <c r="L75" s="11" t="n"/>
      <c r="M75" s="11" t="n"/>
      <c r="N75" s="11" t="n"/>
      <c r="O75" s="12" t="n">
        <v>1000</v>
      </c>
      <c r="P75" s="12" t="n">
        <v>700</v>
      </c>
      <c r="Q75" s="12" t="n">
        <v>400</v>
      </c>
      <c r="R75" s="11" t="n"/>
      <c r="S75" s="13" t="n"/>
      <c r="T75" s="10" t="n">
        <v>0</v>
      </c>
      <c r="U75" s="11" t="n"/>
      <c r="V75" s="11" t="inlineStr">
        <is>
          <t>Out of Stock</t>
        </is>
      </c>
      <c r="W75" s="11" t="n"/>
      <c r="X75" s="11" t="n"/>
      <c r="Y75" s="10" t="n"/>
      <c r="Z75" s="10" t="n"/>
      <c r="AA75" s="14">
        <f>IF(AND(N(Y75)&gt;0,N(Z75)&gt;0),ROUND(43560/(Y75*Z75),0),"")</f>
        <v/>
      </c>
      <c r="AB75" s="10" t="inlineStr">
        <is>
          <t>Medium tree</t>
        </is>
      </c>
      <c r="AC75" s="10" t="inlineStr">
        <is>
          <t>Partial shade</t>
        </is>
      </c>
      <c r="AD75" s="11" t="n"/>
      <c r="AE75" s="10" t="inlineStr">
        <is>
          <t>20 – 30⁰C</t>
        </is>
      </c>
      <c r="AF75" s="10" t="inlineStr">
        <is>
          <t>Medium tree</t>
        </is>
      </c>
      <c r="AG75" s="10" t="inlineStr">
        <is>
          <t>3 to 4 years</t>
        </is>
      </c>
      <c r="AH75" s="10" t="inlineStr">
        <is>
          <t>100Kgs to 200Kgs per acre</t>
        </is>
      </c>
      <c r="AI75" s="10" t="inlineStr">
        <is>
          <t>Feb to April</t>
        </is>
      </c>
      <c r="AJ75" s="10" t="inlineStr">
        <is>
          <t>5gms to 10gms</t>
        </is>
      </c>
      <c r="AK75" s="11" t="n"/>
      <c r="AL75" s="11" t="n"/>
      <c r="AM75" s="11" t="n"/>
      <c r="AN75" s="11" t="n"/>
      <c r="AO75" s="11" t="n"/>
      <c r="AP75" s="11" t="n"/>
      <c r="AQ75" s="11" t="n"/>
      <c r="AR75" s="10" t="inlineStr">
        <is>
          <t>https://hasiruagro.com/wp-content/uploads/2023/08/Hing-fruit-image-Hasiruagro.jpg</t>
        </is>
      </c>
      <c r="AS75" s="11" t="n"/>
      <c r="AT75" s="11" t="n"/>
    </row>
    <row r="76">
      <c r="A76" s="10" t="inlineStr">
        <is>
          <t>HA0073</t>
        </is>
      </c>
      <c r="B76" s="10" t="inlineStr">
        <is>
          <t>Honge(Pongamia pinnata)</t>
        </is>
      </c>
      <c r="C76" s="11" t="n"/>
      <c r="D76" s="10" t="inlineStr">
        <is>
          <t>Forestry</t>
        </is>
      </c>
      <c r="E76" s="11" t="inlineStr">
        <is>
          <t>Timber Trees</t>
        </is>
      </c>
      <c r="F76" s="11" t="n"/>
      <c r="G76" s="11" t="inlineStr">
        <is>
          <t>Yes</t>
        </is>
      </c>
      <c r="H76" s="11" t="inlineStr">
        <is>
          <t>No</t>
        </is>
      </c>
      <c r="I76" s="10" t="inlineStr">
        <is>
          <t>Seeded</t>
        </is>
      </c>
      <c r="J76" s="11" t="n"/>
      <c r="K76" s="11" t="n"/>
      <c r="L76" s="11" t="n"/>
      <c r="M76" s="11" t="n"/>
      <c r="N76" s="11" t="n"/>
      <c r="O76" s="12" t="n">
        <v>320</v>
      </c>
      <c r="P76" s="12" t="n">
        <v>225</v>
      </c>
      <c r="Q76" s="12" t="n">
        <v>60</v>
      </c>
      <c r="R76" s="11" t="n"/>
      <c r="S76" s="13" t="n"/>
      <c r="T76" s="10" t="n">
        <v>528</v>
      </c>
      <c r="U76" s="11" t="n"/>
      <c r="V76" s="11" t="inlineStr">
        <is>
          <t>Available</t>
        </is>
      </c>
      <c r="W76" s="11" t="n"/>
      <c r="X76" s="11" t="n"/>
      <c r="Y76" s="10" t="n">
        <v>20</v>
      </c>
      <c r="Z76" s="10" t="n">
        <v>20</v>
      </c>
      <c r="AA76" s="14">
        <f>IF(AND(N(Y76)&gt;0,N(Z76)&gt;0),ROUND(43560/(Y76*Z76),0),"")</f>
        <v/>
      </c>
      <c r="AB76" s="10" t="inlineStr">
        <is>
          <t>20ft x 20ft</t>
        </is>
      </c>
      <c r="AC76" s="10" t="inlineStr">
        <is>
          <t>Full sun</t>
        </is>
      </c>
      <c r="AD76" s="11" t="n"/>
      <c r="AE76" s="10" t="inlineStr">
        <is>
          <t>20°C to 40°C</t>
        </is>
      </c>
      <c r="AF76" s="10" t="inlineStr">
        <is>
          <t>20ft to 30 ft tall</t>
        </is>
      </c>
      <c r="AG76" s="10" t="inlineStr">
        <is>
          <t>5 to 6 years</t>
        </is>
      </c>
      <c r="AH76" s="10" t="n"/>
      <c r="AI76" s="10" t="n"/>
      <c r="AJ76" s="10" t="n"/>
      <c r="AK76" s="11" t="n"/>
      <c r="AL76" s="11" t="n"/>
      <c r="AM76" s="11" t="n"/>
      <c r="AN76" s="11" t="n"/>
      <c r="AO76" s="11" t="n"/>
      <c r="AP76" s="11" t="n"/>
      <c r="AQ76" s="11" t="n"/>
      <c r="AR76" s="10" t="inlineStr">
        <is>
          <t>https://hasiruagro.com/wp-content/uploads/2023/08/Honge-Pongamia-pinnata.jpg</t>
        </is>
      </c>
      <c r="AS76" s="11" t="n"/>
      <c r="AT76" s="11" t="n"/>
    </row>
    <row r="77">
      <c r="A77" s="10" t="inlineStr">
        <is>
          <t>HA0074</t>
        </is>
      </c>
      <c r="B77" s="10" t="inlineStr">
        <is>
          <t>Indian Olive (Amate)</t>
        </is>
      </c>
      <c r="C77" s="11" t="n"/>
      <c r="D77" s="10" t="inlineStr">
        <is>
          <t>Exotic fruits</t>
        </is>
      </c>
      <c r="E77" s="11" t="inlineStr">
        <is>
          <t>Fruiting Trees</t>
        </is>
      </c>
      <c r="F77" s="11" t="inlineStr">
        <is>
          <t>Exotic</t>
        </is>
      </c>
      <c r="G77" s="11" t="inlineStr">
        <is>
          <t>Yes</t>
        </is>
      </c>
      <c r="H77" s="11" t="inlineStr">
        <is>
          <t>No</t>
        </is>
      </c>
      <c r="I77" s="10" t="inlineStr">
        <is>
          <t>Seeded</t>
        </is>
      </c>
      <c r="J77" s="11" t="n"/>
      <c r="K77" s="11" t="n"/>
      <c r="L77" s="11" t="n"/>
      <c r="M77" s="11" t="n"/>
      <c r="N77" s="11" t="n"/>
      <c r="O77" s="12" t="n">
        <v>700</v>
      </c>
      <c r="P77" s="12" t="n">
        <v>490</v>
      </c>
      <c r="Q77" s="12" t="n">
        <v>250</v>
      </c>
      <c r="R77" s="11" t="n"/>
      <c r="S77" s="13" t="n"/>
      <c r="T77" s="10" t="n">
        <v>0</v>
      </c>
      <c r="U77" s="11" t="n"/>
      <c r="V77" s="11" t="inlineStr">
        <is>
          <t>Out of Stock</t>
        </is>
      </c>
      <c r="W77" s="11" t="n"/>
      <c r="X77" s="11" t="n"/>
      <c r="Y77" s="10" t="n"/>
      <c r="Z77" s="10" t="n"/>
      <c r="AA77" s="14">
        <f>IF(AND(N(Y77)&gt;0,N(Z77)&gt;0),ROUND(43560/(Y77*Z77),0),"")</f>
        <v/>
      </c>
      <c r="AB77" s="10" t="n"/>
      <c r="AC77" s="10" t="inlineStr">
        <is>
          <t>Full sun</t>
        </is>
      </c>
      <c r="AD77" s="11" t="n"/>
      <c r="AE77" s="10" t="inlineStr">
        <is>
          <t>20°C to 40 °C</t>
        </is>
      </c>
      <c r="AF77" s="10" t="inlineStr">
        <is>
          <t>Medium tree</t>
        </is>
      </c>
      <c r="AG77" s="10" t="inlineStr">
        <is>
          <t>5 years</t>
        </is>
      </c>
      <c r="AH77" s="10" t="inlineStr">
        <is>
          <t>15Kgs to 20Kgs per tree</t>
        </is>
      </c>
      <c r="AI77" s="10" t="inlineStr">
        <is>
          <t>Septermber to January</t>
        </is>
      </c>
      <c r="AJ77" s="10" t="inlineStr">
        <is>
          <t>70gms to 100gms</t>
        </is>
      </c>
      <c r="AK77" s="11" t="n"/>
      <c r="AL77" s="11" t="n"/>
      <c r="AM77" s="11" t="n"/>
      <c r="AN77" s="11" t="n"/>
      <c r="AO77" s="11" t="n"/>
      <c r="AP77" s="11" t="n"/>
      <c r="AQ77" s="11" t="n"/>
      <c r="AR77" s="10" t="inlineStr">
        <is>
          <t>https://hasiruagro.com/wp-content/uploads/2024/03/Indian-Olive-Amate-fruit-hasiru-agro.webp</t>
        </is>
      </c>
      <c r="AS77" s="11" t="n"/>
      <c r="AT77" s="11" t="n"/>
    </row>
    <row r="78">
      <c r="A78" s="10" t="inlineStr">
        <is>
          <t>HA0075</t>
        </is>
      </c>
      <c r="B78" s="10" t="inlineStr">
        <is>
          <t>Jamun seedless</t>
        </is>
      </c>
      <c r="C78" s="11" t="n"/>
      <c r="D78" s="10" t="inlineStr">
        <is>
          <t>Desi Fruits</t>
        </is>
      </c>
      <c r="E78" s="11" t="inlineStr">
        <is>
          <t>Fruiting Trees</t>
        </is>
      </c>
      <c r="F78" s="11" t="inlineStr">
        <is>
          <t>Desi</t>
        </is>
      </c>
      <c r="G78" s="11" t="inlineStr">
        <is>
          <t>Yes</t>
        </is>
      </c>
      <c r="H78" s="11" t="inlineStr">
        <is>
          <t>No</t>
        </is>
      </c>
      <c r="I78" s="10" t="n"/>
      <c r="J78" s="11" t="n"/>
      <c r="K78" s="11" t="n"/>
      <c r="L78" s="11" t="n"/>
      <c r="M78" s="11" t="n"/>
      <c r="N78" s="11" t="n"/>
      <c r="O78" s="12" t="n">
        <v>650</v>
      </c>
      <c r="P78" s="12" t="n">
        <v>455</v>
      </c>
      <c r="Q78" s="12" t="n">
        <v>180</v>
      </c>
      <c r="R78" s="11" t="n"/>
      <c r="S78" s="13" t="n"/>
      <c r="T78" s="10" t="n">
        <v>0</v>
      </c>
      <c r="U78" s="11" t="n"/>
      <c r="V78" s="11" t="inlineStr">
        <is>
          <t>Out of Stock</t>
        </is>
      </c>
      <c r="W78" s="11" t="n"/>
      <c r="X78" s="11" t="n"/>
      <c r="Y78" s="10" t="n">
        <v>20</v>
      </c>
      <c r="Z78" s="10" t="n">
        <v>20</v>
      </c>
      <c r="AA78" s="14">
        <f>IF(AND(N(Y78)&gt;0,N(Z78)&gt;0),ROUND(43560/(Y78*Z78),0),"")</f>
        <v/>
      </c>
      <c r="AB78" s="10" t="inlineStr">
        <is>
          <t>20ft x 20ft</t>
        </is>
      </c>
      <c r="AC78" s="10" t="inlineStr">
        <is>
          <t>Open sun</t>
        </is>
      </c>
      <c r="AD78" s="11" t="n"/>
      <c r="AE78" s="10" t="inlineStr">
        <is>
          <t>20°C to 40 °C</t>
        </is>
      </c>
      <c r="AF78" s="10" t="inlineStr">
        <is>
          <t>Big tree</t>
        </is>
      </c>
      <c r="AG78" s="10" t="inlineStr">
        <is>
          <t>2 years</t>
        </is>
      </c>
      <c r="AH78" s="10" t="inlineStr">
        <is>
          <t>60Kg to 70Kg</t>
        </is>
      </c>
      <c r="AI78" s="10" t="inlineStr">
        <is>
          <t>May to August</t>
        </is>
      </c>
      <c r="AJ78" s="10" t="inlineStr">
        <is>
          <t>50gm to 100gm</t>
        </is>
      </c>
      <c r="AK78" s="11" t="n"/>
      <c r="AL78" s="11" t="n"/>
      <c r="AM78" s="11" t="n"/>
      <c r="AN78" s="11" t="n"/>
      <c r="AO78" s="11" t="n"/>
      <c r="AP78" s="11" t="n"/>
      <c r="AQ78" s="11" t="n"/>
      <c r="AR78" s="10" t="inlineStr">
        <is>
          <t>https://hasiruagro.com/wp-content/uploads/2023/08/Jamun-seedless-fruit-image-Hasiruagro.jpg</t>
        </is>
      </c>
      <c r="AS78" s="11" t="n"/>
      <c r="AT78" s="11" t="n"/>
    </row>
    <row r="79">
      <c r="A79" s="10" t="inlineStr">
        <is>
          <t>HA0076</t>
        </is>
      </c>
      <c r="B79" s="10" t="inlineStr">
        <is>
          <t>Japanese Red diamond Guava</t>
        </is>
      </c>
      <c r="C79" s="11" t="n"/>
      <c r="D79" s="10" t="inlineStr">
        <is>
          <t>Exotic fruits</t>
        </is>
      </c>
      <c r="E79" s="11" t="inlineStr">
        <is>
          <t>Fruiting Trees</t>
        </is>
      </c>
      <c r="F79" s="11" t="inlineStr">
        <is>
          <t>Exotic</t>
        </is>
      </c>
      <c r="G79" s="11" t="inlineStr">
        <is>
          <t>Yes</t>
        </is>
      </c>
      <c r="H79" s="11" t="inlineStr">
        <is>
          <t>No</t>
        </is>
      </c>
      <c r="I79" s="10" t="inlineStr">
        <is>
          <t>Air layered</t>
        </is>
      </c>
      <c r="J79" s="11" t="n"/>
      <c r="K79" s="11" t="n"/>
      <c r="L79" s="11" t="n"/>
      <c r="M79" s="11" t="n"/>
      <c r="N79" s="11" t="n"/>
      <c r="O79" s="12" t="n">
        <v>800</v>
      </c>
      <c r="P79" s="12" t="n">
        <v>560</v>
      </c>
      <c r="Q79" s="12" t="n">
        <v>300</v>
      </c>
      <c r="R79" s="11" t="n"/>
      <c r="S79" s="13" t="n"/>
      <c r="T79" s="10" t="n">
        <v>0</v>
      </c>
      <c r="U79" s="11" t="n"/>
      <c r="V79" s="11" t="inlineStr">
        <is>
          <t>Out of Stock</t>
        </is>
      </c>
      <c r="W79" s="11" t="n"/>
      <c r="X79" s="11" t="n"/>
      <c r="Y79" s="10" t="n"/>
      <c r="Z79" s="10" t="n"/>
      <c r="AA79" s="14">
        <f>IF(AND(N(Y79)&gt;0,N(Z79)&gt;0),ROUND(43560/(Y79*Z79),0),"")</f>
        <v/>
      </c>
      <c r="AB79" s="10" t="n"/>
      <c r="AC79" s="10" t="inlineStr">
        <is>
          <t>Full sun/partial sun</t>
        </is>
      </c>
      <c r="AD79" s="11" t="n"/>
      <c r="AE79" s="10" t="inlineStr">
        <is>
          <t>20°C to 40 °C</t>
        </is>
      </c>
      <c r="AF79" s="10" t="inlineStr">
        <is>
          <t>Small tree</t>
        </is>
      </c>
      <c r="AG79" s="10" t="inlineStr">
        <is>
          <t>2 years</t>
        </is>
      </c>
      <c r="AH79" s="10" t="inlineStr">
        <is>
          <t>30Kgs to 50Kgs</t>
        </is>
      </c>
      <c r="AI79" s="10" t="inlineStr">
        <is>
          <t>Alternate seasons</t>
        </is>
      </c>
      <c r="AJ79" s="10" t="inlineStr">
        <is>
          <t>400gms to 1000gms</t>
        </is>
      </c>
      <c r="AK79" s="11" t="n"/>
      <c r="AL79" s="11" t="n"/>
      <c r="AM79" s="11" t="n"/>
      <c r="AN79" s="11" t="n"/>
      <c r="AO79" s="11" t="n"/>
      <c r="AP79" s="11" t="n"/>
      <c r="AQ79" s="11" t="n"/>
      <c r="AR79" s="10" t="inlineStr">
        <is>
          <t>https://hasiruagro.com/wp-content/uploads/2023/08/Japanese-Red-diamond-GuavaFruit-image-Hasiruagro.jpg</t>
        </is>
      </c>
      <c r="AS79" s="11" t="n"/>
      <c r="AT79" s="11" t="n"/>
    </row>
    <row r="80">
      <c r="A80" s="10" t="inlineStr">
        <is>
          <t>HA0077</t>
        </is>
      </c>
      <c r="B80" s="10" t="inlineStr">
        <is>
          <t>Jardalu Mango</t>
        </is>
      </c>
      <c r="C80" s="11" t="n"/>
      <c r="D80" s="10" t="inlineStr">
        <is>
          <t>Desi Fruits</t>
        </is>
      </c>
      <c r="E80" s="11" t="inlineStr">
        <is>
          <t>Fruiting Trees</t>
        </is>
      </c>
      <c r="F80" s="11" t="inlineStr">
        <is>
          <t>Desi</t>
        </is>
      </c>
      <c r="G80" s="11" t="inlineStr">
        <is>
          <t>Yes</t>
        </is>
      </c>
      <c r="H80" s="11" t="inlineStr">
        <is>
          <t>No</t>
        </is>
      </c>
      <c r="I80" s="10" t="inlineStr">
        <is>
          <t>Grafted</t>
        </is>
      </c>
      <c r="J80" s="11" t="n"/>
      <c r="K80" s="11" t="n"/>
      <c r="L80" s="11" t="n"/>
      <c r="M80" s="11" t="n"/>
      <c r="N80" s="11" t="n"/>
      <c r="O80" s="12" t="n">
        <v>700</v>
      </c>
      <c r="P80" s="12" t="n">
        <v>490</v>
      </c>
      <c r="Q80" s="12" t="n">
        <v>250</v>
      </c>
      <c r="R80" s="11" t="n"/>
      <c r="S80" s="13" t="n"/>
      <c r="T80" s="10" t="n">
        <v>0</v>
      </c>
      <c r="U80" s="11" t="n"/>
      <c r="V80" s="11" t="inlineStr">
        <is>
          <t>Out of Stock</t>
        </is>
      </c>
      <c r="W80" s="11" t="n"/>
      <c r="X80" s="11" t="n"/>
      <c r="Y80" s="10" t="n">
        <v>18</v>
      </c>
      <c r="Z80" s="10" t="n">
        <v>18</v>
      </c>
      <c r="AA80" s="14">
        <f>IF(AND(N(Y80)&gt;0,N(Z80)&gt;0),ROUND(43560/(Y80*Z80),0),"")</f>
        <v/>
      </c>
      <c r="AB80" s="10" t="inlineStr">
        <is>
          <t>18ft x 18ft</t>
        </is>
      </c>
      <c r="AC80" s="10" t="inlineStr">
        <is>
          <t>Open sun</t>
        </is>
      </c>
      <c r="AD80" s="11" t="n"/>
      <c r="AE80" s="10" t="inlineStr">
        <is>
          <t>20°C to 40 °C</t>
        </is>
      </c>
      <c r="AF80" s="10" t="inlineStr">
        <is>
          <t>Medium sized tree</t>
        </is>
      </c>
      <c r="AG80" s="10" t="inlineStr">
        <is>
          <t>2 years</t>
        </is>
      </c>
      <c r="AH80" s="10" t="inlineStr">
        <is>
          <t>300 to 500 fruits</t>
        </is>
      </c>
      <c r="AI80" s="10" t="inlineStr">
        <is>
          <t>April to August</t>
        </is>
      </c>
      <c r="AJ80" s="10" t="inlineStr">
        <is>
          <t>100gm to 150gm</t>
        </is>
      </c>
      <c r="AK80" s="11" t="n"/>
      <c r="AL80" s="11" t="n"/>
      <c r="AM80" s="11" t="n"/>
      <c r="AN80" s="11" t="n"/>
      <c r="AO80" s="11" t="n"/>
      <c r="AP80" s="11" t="n"/>
      <c r="AQ80" s="11" t="n"/>
      <c r="AR80" s="10" t="inlineStr">
        <is>
          <t>https://hasiruagro.com/wp-content/uploads/2023/08/Jardalu-Mango-F.jpg</t>
        </is>
      </c>
      <c r="AS80" s="11" t="n"/>
      <c r="AT80" s="11" t="n"/>
    </row>
    <row r="81">
      <c r="A81" s="10" t="inlineStr">
        <is>
          <t>HA0078</t>
        </is>
      </c>
      <c r="B81" s="10" t="inlineStr">
        <is>
          <t>Jeerige Midi Mango</t>
        </is>
      </c>
      <c r="C81" s="11" t="n"/>
      <c r="D81" s="10" t="inlineStr">
        <is>
          <t>Desi Fruits</t>
        </is>
      </c>
      <c r="E81" s="11" t="inlineStr">
        <is>
          <t>Fruiting Trees</t>
        </is>
      </c>
      <c r="F81" s="11" t="inlineStr">
        <is>
          <t>Desi</t>
        </is>
      </c>
      <c r="G81" s="11" t="inlineStr">
        <is>
          <t>Yes</t>
        </is>
      </c>
      <c r="H81" s="11" t="inlineStr">
        <is>
          <t>No</t>
        </is>
      </c>
      <c r="I81" s="10" t="inlineStr">
        <is>
          <t>Grafted</t>
        </is>
      </c>
      <c r="J81" s="11" t="n"/>
      <c r="K81" s="11" t="n"/>
      <c r="L81" s="11" t="n"/>
      <c r="M81" s="11" t="n"/>
      <c r="N81" s="11" t="n"/>
      <c r="O81" s="12" t="n">
        <v>660</v>
      </c>
      <c r="P81" s="12" t="n">
        <v>460</v>
      </c>
      <c r="Q81" s="12" t="n">
        <v>250</v>
      </c>
      <c r="R81" s="11" t="n"/>
      <c r="S81" s="13" t="n"/>
      <c r="T81" s="10" t="n">
        <v>0</v>
      </c>
      <c r="U81" s="11" t="n"/>
      <c r="V81" s="11" t="inlineStr">
        <is>
          <t>Out of Stock</t>
        </is>
      </c>
      <c r="W81" s="11" t="n"/>
      <c r="X81" s="11" t="n"/>
      <c r="Y81" s="10" t="n">
        <v>18</v>
      </c>
      <c r="Z81" s="10" t="n">
        <v>18</v>
      </c>
      <c r="AA81" s="14">
        <f>IF(AND(N(Y81)&gt;0,N(Z81)&gt;0),ROUND(43560/(Y81*Z81),0),"")</f>
        <v/>
      </c>
      <c r="AB81" s="10" t="inlineStr">
        <is>
          <t>18ft x 18ft</t>
        </is>
      </c>
      <c r="AC81" s="10" t="inlineStr">
        <is>
          <t>Open sun</t>
        </is>
      </c>
      <c r="AD81" s="11" t="n"/>
      <c r="AE81" s="10" t="inlineStr">
        <is>
          <t>20°C to 40 °C</t>
        </is>
      </c>
      <c r="AF81" s="10" t="inlineStr">
        <is>
          <t>Medium sized tree</t>
        </is>
      </c>
      <c r="AG81" s="10" t="inlineStr">
        <is>
          <t>2 years</t>
        </is>
      </c>
      <c r="AH81" s="10" t="inlineStr">
        <is>
          <t>300 to 500 fruits</t>
        </is>
      </c>
      <c r="AI81" s="10" t="inlineStr">
        <is>
          <t>April to August</t>
        </is>
      </c>
      <c r="AJ81" s="10" t="inlineStr">
        <is>
          <t>50gm to 100gm</t>
        </is>
      </c>
      <c r="AK81" s="11" t="n"/>
      <c r="AL81" s="11" t="n"/>
      <c r="AM81" s="11" t="n"/>
      <c r="AN81" s="11" t="n"/>
      <c r="AO81" s="11" t="n"/>
      <c r="AP81" s="11" t="n"/>
      <c r="AQ81" s="11" t="n"/>
      <c r="AR81" s="10" t="inlineStr">
        <is>
          <t>https://hasiruagro.com/wp-content/uploads/2023/08/Jeerige-Midi-Mango-Fruit-image-Hasiruagro.jpg</t>
        </is>
      </c>
      <c r="AS81" s="11" t="n"/>
      <c r="AT81" s="11" t="n"/>
    </row>
    <row r="82">
      <c r="A82" s="10" t="inlineStr">
        <is>
          <t>HA0079</t>
        </is>
      </c>
      <c r="B82" s="10" t="inlineStr">
        <is>
          <t>Lemon Tree - All Season Kagzi lemon</t>
        </is>
      </c>
      <c r="C82" s="11" t="n"/>
      <c r="D82" s="10" t="inlineStr">
        <is>
          <t>Desi Fruits</t>
        </is>
      </c>
      <c r="E82" s="11" t="inlineStr">
        <is>
          <t>Fruiting Trees</t>
        </is>
      </c>
      <c r="F82" s="11" t="inlineStr">
        <is>
          <t>Desi</t>
        </is>
      </c>
      <c r="G82" s="11" t="inlineStr">
        <is>
          <t>Yes</t>
        </is>
      </c>
      <c r="H82" s="11" t="inlineStr">
        <is>
          <t>No</t>
        </is>
      </c>
      <c r="I82" s="10" t="inlineStr">
        <is>
          <t>Grafted</t>
        </is>
      </c>
      <c r="J82" s="11" t="n"/>
      <c r="K82" s="11" t="n"/>
      <c r="L82" s="11" t="n"/>
      <c r="M82" s="11" t="n"/>
      <c r="N82" s="11" t="n"/>
      <c r="O82" s="12" t="n">
        <v>440</v>
      </c>
      <c r="P82" s="12" t="n">
        <v>310</v>
      </c>
      <c r="Q82" s="12" t="n">
        <v>150</v>
      </c>
      <c r="R82" s="11" t="n"/>
      <c r="S82" s="13" t="n"/>
      <c r="T82" s="10" t="n">
        <v>1189</v>
      </c>
      <c r="U82" s="11" t="n"/>
      <c r="V82" s="11" t="inlineStr">
        <is>
          <t>Available</t>
        </is>
      </c>
      <c r="W82" s="11" t="n"/>
      <c r="X82" s="11" t="n"/>
      <c r="Y82" s="10" t="n">
        <v>10</v>
      </c>
      <c r="Z82" s="10" t="n">
        <v>10</v>
      </c>
      <c r="AA82" s="14">
        <f>IF(AND(N(Y82)&gt;0,N(Z82)&gt;0),ROUND(43560/(Y82*Z82),0),"")</f>
        <v/>
      </c>
      <c r="AB82" s="10" t="inlineStr">
        <is>
          <t>10ft x 10ft</t>
        </is>
      </c>
      <c r="AC82" s="10" t="inlineStr">
        <is>
          <t>Open sun</t>
        </is>
      </c>
      <c r="AD82" s="11" t="n"/>
      <c r="AE82" s="10" t="inlineStr">
        <is>
          <t>20°C to 40 °C</t>
        </is>
      </c>
      <c r="AF82" s="10" t="inlineStr">
        <is>
          <t>Small tree</t>
        </is>
      </c>
      <c r="AG82" s="10" t="inlineStr">
        <is>
          <t>2 years</t>
        </is>
      </c>
      <c r="AH82" s="10" t="inlineStr">
        <is>
          <t>80Kg to 100Kg</t>
        </is>
      </c>
      <c r="AI82" s="10" t="inlineStr">
        <is>
          <t>Year round</t>
        </is>
      </c>
      <c r="AJ82" s="10" t="inlineStr">
        <is>
          <t>50gms to 80gms</t>
        </is>
      </c>
      <c r="AK82" s="11" t="n"/>
      <c r="AL82" s="11" t="n"/>
      <c r="AM82" s="11" t="n"/>
      <c r="AN82" s="11" t="n"/>
      <c r="AO82" s="11" t="n"/>
      <c r="AP82" s="11" t="n"/>
      <c r="AQ82" s="11" t="n"/>
      <c r="AR82" s="10" t="inlineStr">
        <is>
          <t>https://hasiruagro.com/wp-content/uploads/2023/07/Lemon-Tree-All-Season-Kagzi-Hasiruagro.webp</t>
        </is>
      </c>
      <c r="AS82" s="11" t="n"/>
      <c r="AT82" s="11" t="n"/>
    </row>
    <row r="83">
      <c r="A83" s="10" t="inlineStr">
        <is>
          <t>HA0080</t>
        </is>
      </c>
      <c r="B83" s="10" t="inlineStr">
        <is>
          <t>Kaju badam</t>
        </is>
      </c>
      <c r="C83" s="11" t="n"/>
      <c r="D83" s="10" t="inlineStr">
        <is>
          <t>Exotic fruits</t>
        </is>
      </c>
      <c r="E83" s="11" t="inlineStr">
        <is>
          <t>Fruiting Trees</t>
        </is>
      </c>
      <c r="F83" s="11" t="inlineStr">
        <is>
          <t>Exotic</t>
        </is>
      </c>
      <c r="G83" s="11" t="inlineStr">
        <is>
          <t>Yes</t>
        </is>
      </c>
      <c r="H83" s="11" t="inlineStr">
        <is>
          <t>No</t>
        </is>
      </c>
      <c r="I83" s="10" t="inlineStr">
        <is>
          <t>Seeded</t>
        </is>
      </c>
      <c r="J83" s="11" t="n"/>
      <c r="K83" s="11" t="n"/>
      <c r="L83" s="11" t="n"/>
      <c r="M83" s="11" t="n"/>
      <c r="N83" s="11" t="n"/>
      <c r="O83" s="12" t="n">
        <v>520</v>
      </c>
      <c r="P83" s="12" t="n">
        <v>365</v>
      </c>
      <c r="Q83" s="12" t="n">
        <v>160</v>
      </c>
      <c r="R83" s="11" t="n"/>
      <c r="S83" s="13" t="n"/>
      <c r="T83" s="10" t="n">
        <v>0</v>
      </c>
      <c r="U83" s="11" t="n"/>
      <c r="V83" s="11" t="inlineStr">
        <is>
          <t>Out of Stock</t>
        </is>
      </c>
      <c r="W83" s="11" t="n"/>
      <c r="X83" s="11" t="n"/>
      <c r="Y83" s="10" t="n"/>
      <c r="Z83" s="10" t="n"/>
      <c r="AA83" s="14">
        <f>IF(AND(N(Y83)&gt;0,N(Z83)&gt;0),ROUND(43560/(Y83*Z83),0),"")</f>
        <v/>
      </c>
      <c r="AB83" s="10" t="n"/>
      <c r="AC83" s="10" t="inlineStr">
        <is>
          <t>Full sun</t>
        </is>
      </c>
      <c r="AD83" s="11" t="n"/>
      <c r="AE83" s="10" t="inlineStr">
        <is>
          <t>20°C to 40 °C</t>
        </is>
      </c>
      <c r="AF83" s="10" t="inlineStr">
        <is>
          <t>Medium to big tree</t>
        </is>
      </c>
      <c r="AG83" s="10" t="inlineStr">
        <is>
          <t>3 years</t>
        </is>
      </c>
      <c r="AH83" s="10" t="inlineStr">
        <is>
          <t>8kgs to 10Kgs</t>
        </is>
      </c>
      <c r="AI83" s="10" t="inlineStr">
        <is>
          <t>January to July</t>
        </is>
      </c>
      <c r="AJ83" s="10" t="inlineStr">
        <is>
          <t>50gms to 70gms</t>
        </is>
      </c>
      <c r="AK83" s="11" t="n"/>
      <c r="AL83" s="11" t="n"/>
      <c r="AM83" s="11" t="n"/>
      <c r="AN83" s="11" t="n"/>
      <c r="AO83" s="11" t="n"/>
      <c r="AP83" s="11" t="n"/>
      <c r="AQ83" s="11" t="n"/>
      <c r="AR83" s="10" t="inlineStr">
        <is>
          <t>https://hasiruagro.com/wp-content/uploads/2023/08/Kaju-badam.jpg</t>
        </is>
      </c>
      <c r="AS83" s="11" t="n"/>
      <c r="AT83" s="11" t="n"/>
    </row>
    <row r="84">
      <c r="A84" s="10" t="inlineStr">
        <is>
          <t>HA0081</t>
        </is>
      </c>
      <c r="B84" s="10" t="inlineStr">
        <is>
          <t>Kesar Mango</t>
        </is>
      </c>
      <c r="C84" s="11" t="n"/>
      <c r="D84" s="10" t="inlineStr">
        <is>
          <t>Desi Fruits</t>
        </is>
      </c>
      <c r="E84" s="11" t="inlineStr">
        <is>
          <t>Fruiting Trees</t>
        </is>
      </c>
      <c r="F84" s="11" t="inlineStr">
        <is>
          <t>Desi</t>
        </is>
      </c>
      <c r="G84" s="11" t="inlineStr">
        <is>
          <t>Yes</t>
        </is>
      </c>
      <c r="H84" s="11" t="inlineStr">
        <is>
          <t>No</t>
        </is>
      </c>
      <c r="I84" s="10" t="inlineStr">
        <is>
          <t>Grafted</t>
        </is>
      </c>
      <c r="J84" s="11" t="n"/>
      <c r="K84" s="11" t="n"/>
      <c r="L84" s="11" t="n"/>
      <c r="M84" s="11" t="n"/>
      <c r="N84" s="11" t="n"/>
      <c r="O84" s="12" t="n">
        <v>700</v>
      </c>
      <c r="P84" s="12" t="n">
        <v>490</v>
      </c>
      <c r="Q84" s="12" t="n">
        <v>250</v>
      </c>
      <c r="R84" s="11" t="n"/>
      <c r="S84" s="13" t="n"/>
      <c r="T84" s="10" t="n">
        <v>37</v>
      </c>
      <c r="U84" s="11" t="n"/>
      <c r="V84" s="11" t="inlineStr">
        <is>
          <t>Available</t>
        </is>
      </c>
      <c r="W84" s="11" t="n"/>
      <c r="X84" s="11" t="n"/>
      <c r="Y84" s="10" t="n">
        <v>18</v>
      </c>
      <c r="Z84" s="10" t="n">
        <v>18</v>
      </c>
      <c r="AA84" s="14">
        <f>IF(AND(N(Y84)&gt;0,N(Z84)&gt;0),ROUND(43560/(Y84*Z84),0),"")</f>
        <v/>
      </c>
      <c r="AB84" s="10" t="inlineStr">
        <is>
          <t>18ft x 18ft</t>
        </is>
      </c>
      <c r="AC84" s="10" t="inlineStr">
        <is>
          <t>Open sun</t>
        </is>
      </c>
      <c r="AD84" s="11" t="n"/>
      <c r="AE84" s="10" t="inlineStr">
        <is>
          <t>20°C to 40 °C</t>
        </is>
      </c>
      <c r="AF84" s="10" t="inlineStr">
        <is>
          <t>Medium sized tree</t>
        </is>
      </c>
      <c r="AG84" s="10" t="inlineStr">
        <is>
          <t>2 years</t>
        </is>
      </c>
      <c r="AH84" s="10" t="inlineStr">
        <is>
          <t>300 to 500 fruits</t>
        </is>
      </c>
      <c r="AI84" s="10" t="inlineStr">
        <is>
          <t>April to August</t>
        </is>
      </c>
      <c r="AJ84" s="10" t="inlineStr">
        <is>
          <t>200gm to 250gm</t>
        </is>
      </c>
      <c r="AK84" s="11" t="n"/>
      <c r="AL84" s="11" t="n"/>
      <c r="AM84" s="11" t="n"/>
      <c r="AN84" s="11" t="n"/>
      <c r="AO84" s="11" t="n"/>
      <c r="AP84" s="11" t="n"/>
      <c r="AQ84" s="11" t="n"/>
      <c r="AR84" s="10" t="inlineStr">
        <is>
          <t>https://hasiruagro.com/wp-content/uploads/2023/07/Kesar-Mango-F.jpg</t>
        </is>
      </c>
      <c r="AS84" s="11" t="n"/>
      <c r="AT84" s="11" t="n"/>
    </row>
    <row r="85">
      <c r="A85" s="10" t="inlineStr">
        <is>
          <t>HA0082</t>
        </is>
      </c>
      <c r="B85" s="10" t="inlineStr">
        <is>
          <t>Kinnow Orange</t>
        </is>
      </c>
      <c r="C85" s="11" t="n"/>
      <c r="D85" s="10" t="inlineStr">
        <is>
          <t>Desi Fruits</t>
        </is>
      </c>
      <c r="E85" s="11" t="inlineStr">
        <is>
          <t>Fruiting Trees</t>
        </is>
      </c>
      <c r="F85" s="11" t="inlineStr">
        <is>
          <t>Desi</t>
        </is>
      </c>
      <c r="G85" s="11" t="inlineStr">
        <is>
          <t>Yes</t>
        </is>
      </c>
      <c r="H85" s="11" t="inlineStr">
        <is>
          <t>No</t>
        </is>
      </c>
      <c r="I85" s="10" t="n"/>
      <c r="J85" s="11" t="n"/>
      <c r="K85" s="11" t="n"/>
      <c r="L85" s="11" t="n"/>
      <c r="M85" s="11" t="n"/>
      <c r="N85" s="11" t="n"/>
      <c r="O85" s="12" t="n">
        <v>500</v>
      </c>
      <c r="P85" s="12" t="n">
        <v>350</v>
      </c>
      <c r="Q85" s="12" t="n">
        <v>150</v>
      </c>
      <c r="R85" s="11" t="n"/>
      <c r="S85" s="13" t="n"/>
      <c r="T85" s="10" t="n">
        <v>39</v>
      </c>
      <c r="U85" s="11" t="n"/>
      <c r="V85" s="11" t="inlineStr">
        <is>
          <t>Available</t>
        </is>
      </c>
      <c r="W85" s="11" t="n"/>
      <c r="X85" s="11" t="n"/>
      <c r="Y85" s="10" t="n">
        <v>18</v>
      </c>
      <c r="Z85" s="10" t="n">
        <v>18</v>
      </c>
      <c r="AA85" s="14">
        <f>IF(AND(N(Y85)&gt;0,N(Z85)&gt;0),ROUND(43560/(Y85*Z85),0),"")</f>
        <v/>
      </c>
      <c r="AB85" s="10" t="inlineStr">
        <is>
          <t>18ft x 18ft</t>
        </is>
      </c>
      <c r="AC85" s="10" t="inlineStr">
        <is>
          <t>Open sun</t>
        </is>
      </c>
      <c r="AD85" s="11" t="n"/>
      <c r="AE85" s="10" t="inlineStr">
        <is>
          <t>15°C to 35 °C</t>
        </is>
      </c>
      <c r="AF85" s="10" t="inlineStr">
        <is>
          <t>Small tree</t>
        </is>
      </c>
      <c r="AG85" s="10" t="inlineStr">
        <is>
          <t>2 years</t>
        </is>
      </c>
      <c r="AH85" s="10" t="inlineStr">
        <is>
          <t>300 to 500 fruits</t>
        </is>
      </c>
      <c r="AI85" s="10" t="inlineStr">
        <is>
          <t>September to February</t>
        </is>
      </c>
      <c r="AJ85" s="10" t="inlineStr">
        <is>
          <t>50gm to 100gm</t>
        </is>
      </c>
      <c r="AK85" s="11" t="n"/>
      <c r="AL85" s="11" t="n"/>
      <c r="AM85" s="11" t="n"/>
      <c r="AN85" s="11" t="n"/>
      <c r="AO85" s="11" t="n"/>
      <c r="AP85" s="11" t="n"/>
      <c r="AQ85" s="11" t="n"/>
      <c r="AR85" s="10" t="inlineStr">
        <is>
          <t>https://hasiruagro.com/wp-content/uploads/2023/07/kinnow-orange.webp</t>
        </is>
      </c>
      <c r="AS85" s="11" t="n"/>
      <c r="AT85" s="11" t="n"/>
    </row>
    <row r="86">
      <c r="A86" s="10" t="inlineStr">
        <is>
          <t>HA0083</t>
        </is>
      </c>
      <c r="B86" s="10" t="inlineStr">
        <is>
          <t>Kiwi</t>
        </is>
      </c>
      <c r="C86" s="11" t="n"/>
      <c r="D86" s="10" t="inlineStr">
        <is>
          <t>Exotic fruits</t>
        </is>
      </c>
      <c r="E86" s="11" t="inlineStr">
        <is>
          <t>Fruiting Trees</t>
        </is>
      </c>
      <c r="F86" s="11" t="inlineStr">
        <is>
          <t>Exotic</t>
        </is>
      </c>
      <c r="G86" s="11" t="inlineStr">
        <is>
          <t>Yes</t>
        </is>
      </c>
      <c r="H86" s="11" t="inlineStr">
        <is>
          <t>No</t>
        </is>
      </c>
      <c r="I86" s="10" t="inlineStr">
        <is>
          <t>Stem cuttings</t>
        </is>
      </c>
      <c r="J86" s="11" t="n"/>
      <c r="K86" s="11" t="n"/>
      <c r="L86" s="11" t="n"/>
      <c r="M86" s="11" t="n"/>
      <c r="N86" s="11" t="n"/>
      <c r="O86" s="12" t="n">
        <v>700</v>
      </c>
      <c r="P86" s="12" t="n">
        <v>490</v>
      </c>
      <c r="Q86" s="12" t="n">
        <v>250</v>
      </c>
      <c r="R86" s="11" t="n"/>
      <c r="S86" s="13" t="n"/>
      <c r="T86" s="10" t="n">
        <v>0</v>
      </c>
      <c r="U86" s="11" t="n"/>
      <c r="V86" s="11" t="inlineStr">
        <is>
          <t>Out of Stock</t>
        </is>
      </c>
      <c r="W86" s="11" t="n"/>
      <c r="X86" s="11" t="n"/>
      <c r="Y86" s="10" t="n"/>
      <c r="Z86" s="10" t="n"/>
      <c r="AA86" s="14">
        <f>IF(AND(N(Y86)&gt;0,N(Z86)&gt;0),ROUND(43560/(Y86*Z86),0),"")</f>
        <v/>
      </c>
      <c r="AB86" s="10" t="n"/>
      <c r="AC86" s="10" t="inlineStr">
        <is>
          <t>Full sun</t>
        </is>
      </c>
      <c r="AD86" s="11" t="n"/>
      <c r="AE86" s="10" t="inlineStr">
        <is>
          <t>16°C to 35 °C</t>
        </is>
      </c>
      <c r="AF86" s="10" t="inlineStr">
        <is>
          <t>Climber</t>
        </is>
      </c>
      <c r="AG86" s="10" t="inlineStr">
        <is>
          <t>3 years</t>
        </is>
      </c>
      <c r="AH86" s="10" t="inlineStr">
        <is>
          <t>30Kgs to 40Kgs</t>
        </is>
      </c>
      <c r="AI86" s="10" t="inlineStr">
        <is>
          <t>September to December</t>
        </is>
      </c>
      <c r="AJ86" s="10" t="inlineStr">
        <is>
          <t>100gms to 150gms</t>
        </is>
      </c>
      <c r="AK86" s="11" t="n"/>
      <c r="AL86" s="11" t="n"/>
      <c r="AM86" s="11" t="n"/>
      <c r="AN86" s="11" t="n"/>
      <c r="AO86" s="11" t="n"/>
      <c r="AP86" s="11" t="n"/>
      <c r="AQ86" s="11" t="n"/>
      <c r="AR86" s="10" t="inlineStr">
        <is>
          <t>https://hasiruagro.com/wp-content/uploads/2023/08/Kiwi.jpg</t>
        </is>
      </c>
      <c r="AS86" s="11" t="n"/>
      <c r="AT86" s="11" t="n"/>
    </row>
    <row r="87">
      <c r="A87" s="10" t="inlineStr">
        <is>
          <t>HA0084</t>
        </is>
      </c>
      <c r="B87" s="10" t="inlineStr">
        <is>
          <t>Kolkata Patti Lemon</t>
        </is>
      </c>
      <c r="C87" s="11" t="n"/>
      <c r="D87" s="10" t="inlineStr">
        <is>
          <t>Desi Fruits</t>
        </is>
      </c>
      <c r="E87" s="11" t="inlineStr">
        <is>
          <t>Fruiting Trees</t>
        </is>
      </c>
      <c r="F87" s="11" t="inlineStr">
        <is>
          <t>Desi</t>
        </is>
      </c>
      <c r="G87" s="11" t="inlineStr">
        <is>
          <t>Yes</t>
        </is>
      </c>
      <c r="H87" s="11" t="inlineStr">
        <is>
          <t>No</t>
        </is>
      </c>
      <c r="I87" s="10" t="inlineStr">
        <is>
          <t>Grafted</t>
        </is>
      </c>
      <c r="J87" s="11" t="n"/>
      <c r="K87" s="11" t="n"/>
      <c r="L87" s="11" t="n"/>
      <c r="M87" s="11" t="n"/>
      <c r="N87" s="11" t="n"/>
      <c r="O87" s="12" t="n">
        <v>560</v>
      </c>
      <c r="P87" s="12" t="n">
        <v>390</v>
      </c>
      <c r="Q87" s="12" t="n">
        <v>180</v>
      </c>
      <c r="R87" s="11" t="n"/>
      <c r="S87" s="13" t="n"/>
      <c r="T87" s="10" t="n">
        <v>0</v>
      </c>
      <c r="U87" s="11" t="n"/>
      <c r="V87" s="11" t="inlineStr">
        <is>
          <t>Out of Stock</t>
        </is>
      </c>
      <c r="W87" s="11" t="n"/>
      <c r="X87" s="11" t="n"/>
      <c r="Y87" s="10" t="n">
        <v>10</v>
      </c>
      <c r="Z87" s="10" t="n">
        <v>10</v>
      </c>
      <c r="AA87" s="14">
        <f>IF(AND(N(Y87)&gt;0,N(Z87)&gt;0),ROUND(43560/(Y87*Z87),0),"")</f>
        <v/>
      </c>
      <c r="AB87" s="10" t="inlineStr">
        <is>
          <t>10ft x 10ft</t>
        </is>
      </c>
      <c r="AC87" s="10" t="inlineStr">
        <is>
          <t>Open sun</t>
        </is>
      </c>
      <c r="AD87" s="11" t="n"/>
      <c r="AE87" s="10" t="inlineStr">
        <is>
          <t>20°C to 40 °C</t>
        </is>
      </c>
      <c r="AF87" s="10" t="inlineStr">
        <is>
          <t>small tree</t>
        </is>
      </c>
      <c r="AG87" s="10" t="inlineStr">
        <is>
          <t>2 years</t>
        </is>
      </c>
      <c r="AH87" s="10" t="inlineStr">
        <is>
          <t>80Kg to 100Kg</t>
        </is>
      </c>
      <c r="AI87" s="10" t="inlineStr">
        <is>
          <t>March to June</t>
        </is>
      </c>
      <c r="AJ87" s="10" t="inlineStr">
        <is>
          <t>40g to 50g</t>
        </is>
      </c>
      <c r="AK87" s="11" t="n"/>
      <c r="AL87" s="11" t="n"/>
      <c r="AM87" s="11" t="n"/>
      <c r="AN87" s="11" t="n"/>
      <c r="AO87" s="11" t="n"/>
      <c r="AP87" s="11" t="n"/>
      <c r="AQ87" s="11" t="n"/>
      <c r="AR87" s="10" t="inlineStr">
        <is>
          <t>https://hasiruagro.com/wp-content/uploads/2023/07/Kolkata-Patti-Lemon-fruit-image.webp</t>
        </is>
      </c>
      <c r="AS87" s="11" t="n"/>
      <c r="AT87" s="11" t="n"/>
    </row>
    <row r="88">
      <c r="A88" s="10" t="inlineStr">
        <is>
          <t>HA0085</t>
        </is>
      </c>
      <c r="B88" s="10" t="inlineStr">
        <is>
          <t>Loquat / Lakota</t>
        </is>
      </c>
      <c r="C88" s="11" t="n"/>
      <c r="D88" s="10" t="inlineStr">
        <is>
          <t>Exotic fruits</t>
        </is>
      </c>
      <c r="E88" s="11" t="inlineStr">
        <is>
          <t>Fruiting Trees</t>
        </is>
      </c>
      <c r="F88" s="11" t="inlineStr">
        <is>
          <t>Exotic</t>
        </is>
      </c>
      <c r="G88" s="11" t="inlineStr">
        <is>
          <t>Yes</t>
        </is>
      </c>
      <c r="H88" s="11" t="inlineStr">
        <is>
          <t>No</t>
        </is>
      </c>
      <c r="I88" s="10" t="inlineStr">
        <is>
          <t>Grafted</t>
        </is>
      </c>
      <c r="J88" s="11" t="n"/>
      <c r="K88" s="11" t="n"/>
      <c r="L88" s="11" t="n"/>
      <c r="M88" s="11" t="n"/>
      <c r="N88" s="11" t="n"/>
      <c r="O88" s="12" t="n">
        <v>1100</v>
      </c>
      <c r="P88" s="12" t="n">
        <v>770</v>
      </c>
      <c r="Q88" s="12" t="n">
        <v>150</v>
      </c>
      <c r="R88" s="11" t="n"/>
      <c r="S88" s="13" t="n"/>
      <c r="T88" s="10" t="n">
        <v>0</v>
      </c>
      <c r="U88" s="11" t="n"/>
      <c r="V88" s="11" t="inlineStr">
        <is>
          <t>Out of Stock</t>
        </is>
      </c>
      <c r="W88" s="11" t="n"/>
      <c r="X88" s="11" t="n"/>
      <c r="Y88" s="10" t="n"/>
      <c r="Z88" s="10" t="n"/>
      <c r="AA88" s="14">
        <f>IF(AND(N(Y88)&gt;0,N(Z88)&gt;0),ROUND(43560/(Y88*Z88),0),"")</f>
        <v/>
      </c>
      <c r="AB88" s="10" t="n"/>
      <c r="AC88" s="10" t="inlineStr">
        <is>
          <t>Full shade</t>
        </is>
      </c>
      <c r="AD88" s="11" t="n"/>
      <c r="AE88" s="10" t="inlineStr">
        <is>
          <t>16°C to 35 °C</t>
        </is>
      </c>
      <c r="AF88" s="10" t="inlineStr">
        <is>
          <t>Big tree</t>
        </is>
      </c>
      <c r="AG88" s="10" t="inlineStr">
        <is>
          <t>4 years</t>
        </is>
      </c>
      <c r="AH88" s="10" t="inlineStr">
        <is>
          <t>15Kgs to 20Kgs per tree</t>
        </is>
      </c>
      <c r="AI88" s="10" t="inlineStr">
        <is>
          <t>Septermber to January</t>
        </is>
      </c>
      <c r="AJ88" s="10" t="inlineStr">
        <is>
          <t>70gms to 100gms</t>
        </is>
      </c>
      <c r="AK88" s="11" t="n"/>
      <c r="AL88" s="11" t="n"/>
      <c r="AM88" s="11" t="n"/>
      <c r="AN88" s="11" t="n"/>
      <c r="AO88" s="11" t="n"/>
      <c r="AP88" s="11" t="n"/>
      <c r="AQ88" s="11" t="n"/>
      <c r="AR88" s="10" t="inlineStr">
        <is>
          <t>https://hasiruagro.com/wp-content/uploads/2023/07/Loquat-F.jpg</t>
        </is>
      </c>
      <c r="AS88" s="11" t="n"/>
      <c r="AT88" s="11" t="n"/>
    </row>
    <row r="89">
      <c r="A89" s="10" t="inlineStr">
        <is>
          <t>HA0086</t>
        </is>
      </c>
      <c r="B89" s="10" t="inlineStr">
        <is>
          <t>Lakshmanphal</t>
        </is>
      </c>
      <c r="C89" s="11" t="n"/>
      <c r="D89" s="10" t="inlineStr">
        <is>
          <t>Desi Fruits</t>
        </is>
      </c>
      <c r="E89" s="11" t="inlineStr">
        <is>
          <t>Fruiting Trees</t>
        </is>
      </c>
      <c r="F89" s="11" t="inlineStr">
        <is>
          <t>Desi</t>
        </is>
      </c>
      <c r="G89" s="11" t="inlineStr">
        <is>
          <t>Yes</t>
        </is>
      </c>
      <c r="H89" s="11" t="inlineStr">
        <is>
          <t>No</t>
        </is>
      </c>
      <c r="I89" s="10" t="inlineStr">
        <is>
          <t>Grafted</t>
        </is>
      </c>
      <c r="J89" s="11" t="n"/>
      <c r="K89" s="11" t="n"/>
      <c r="L89" s="11" t="n"/>
      <c r="M89" s="11" t="n"/>
      <c r="N89" s="11" t="n"/>
      <c r="O89" s="12" t="n">
        <v>560</v>
      </c>
      <c r="P89" s="12" t="n">
        <v>390</v>
      </c>
      <c r="Q89" s="12" t="n">
        <v>180</v>
      </c>
      <c r="R89" s="11" t="n"/>
      <c r="S89" s="13" t="n"/>
      <c r="T89" s="10" t="n">
        <v>20</v>
      </c>
      <c r="U89" s="11" t="n"/>
      <c r="V89" s="11" t="inlineStr">
        <is>
          <t>Available</t>
        </is>
      </c>
      <c r="W89" s="11" t="n"/>
      <c r="X89" s="11" t="n"/>
      <c r="Y89" s="10" t="n">
        <v>18</v>
      </c>
      <c r="Z89" s="10" t="n">
        <v>18</v>
      </c>
      <c r="AA89" s="14">
        <f>IF(AND(N(Y89)&gt;0,N(Z89)&gt;0),ROUND(43560/(Y89*Z89),0),"")</f>
        <v/>
      </c>
      <c r="AB89" s="10" t="inlineStr">
        <is>
          <t>18ft x 18ft</t>
        </is>
      </c>
      <c r="AC89" s="10" t="inlineStr">
        <is>
          <t>Open sun</t>
        </is>
      </c>
      <c r="AD89" s="11" t="n"/>
      <c r="AE89" s="10" t="inlineStr">
        <is>
          <t>20°C to 40 °C</t>
        </is>
      </c>
      <c r="AF89" s="10" t="inlineStr">
        <is>
          <t>Medium sized tree</t>
        </is>
      </c>
      <c r="AG89" s="10" t="inlineStr">
        <is>
          <t>2 years</t>
        </is>
      </c>
      <c r="AH89" s="10" t="inlineStr">
        <is>
          <t>20 to 30 fruits</t>
        </is>
      </c>
      <c r="AI89" s="10" t="inlineStr">
        <is>
          <t>April to August</t>
        </is>
      </c>
      <c r="AJ89" s="10" t="inlineStr">
        <is>
          <t>1Kg to 1.5Kg</t>
        </is>
      </c>
      <c r="AK89" s="11" t="n"/>
      <c r="AL89" s="11" t="n"/>
      <c r="AM89" s="11" t="n"/>
      <c r="AN89" s="11" t="n"/>
      <c r="AO89" s="11" t="n"/>
      <c r="AP89" s="11" t="n"/>
      <c r="AQ89" s="11" t="n"/>
      <c r="AR89" s="10" t="inlineStr">
        <is>
          <t>https://hasiruagro.com/wp-content/uploads/2023/08/Lakshmanphal-fruit-image-Hasiruagro.jpg</t>
        </is>
      </c>
      <c r="AS89" s="11" t="n"/>
      <c r="AT89" s="11" t="n"/>
    </row>
    <row r="90">
      <c r="A90" s="10" t="inlineStr">
        <is>
          <t>HA0087</t>
        </is>
      </c>
      <c r="B90" s="10" t="inlineStr">
        <is>
          <t>Lalbhag Madhura Jackfruit</t>
        </is>
      </c>
      <c r="C90" s="11" t="n"/>
      <c r="D90" s="10" t="inlineStr">
        <is>
          <t>Desi Fruits</t>
        </is>
      </c>
      <c r="E90" s="11" t="inlineStr">
        <is>
          <t>Fruiting Trees</t>
        </is>
      </c>
      <c r="F90" s="11" t="inlineStr">
        <is>
          <t>Desi</t>
        </is>
      </c>
      <c r="G90" s="11" t="inlineStr">
        <is>
          <t>Yes</t>
        </is>
      </c>
      <c r="H90" s="11" t="inlineStr">
        <is>
          <t>No</t>
        </is>
      </c>
      <c r="I90" s="10" t="inlineStr">
        <is>
          <t>Grafted</t>
        </is>
      </c>
      <c r="J90" s="11" t="n"/>
      <c r="K90" s="11" t="n"/>
      <c r="L90" s="11" t="n"/>
      <c r="M90" s="11" t="n"/>
      <c r="N90" s="11" t="n"/>
      <c r="O90" s="12" t="n">
        <v>1225</v>
      </c>
      <c r="P90" s="12" t="n">
        <v>490</v>
      </c>
      <c r="Q90" s="12" t="n">
        <v>260</v>
      </c>
      <c r="R90" s="11" t="n"/>
      <c r="S90" s="13" t="n"/>
      <c r="T90" s="10" t="n">
        <v>0</v>
      </c>
      <c r="U90" s="11" t="n"/>
      <c r="V90" s="11" t="inlineStr">
        <is>
          <t>Out of Stock</t>
        </is>
      </c>
      <c r="W90" s="11" t="n"/>
      <c r="X90" s="11" t="n"/>
      <c r="Y90" s="10" t="n">
        <v>20</v>
      </c>
      <c r="Z90" s="10" t="n">
        <v>20</v>
      </c>
      <c r="AA90" s="14">
        <f>IF(AND(N(Y90)&gt;0,N(Z90)&gt;0),ROUND(43560/(Y90*Z90),0),"")</f>
        <v/>
      </c>
      <c r="AB90" s="10" t="inlineStr">
        <is>
          <t>20ft x 20ft</t>
        </is>
      </c>
      <c r="AC90" s="10" t="inlineStr">
        <is>
          <t>Open sun</t>
        </is>
      </c>
      <c r="AD90" s="11" t="n"/>
      <c r="AE90" s="10" t="inlineStr">
        <is>
          <t>20°C to 40 °C</t>
        </is>
      </c>
      <c r="AF90" s="10" t="inlineStr">
        <is>
          <t>Big tree</t>
        </is>
      </c>
      <c r="AG90" s="10" t="inlineStr">
        <is>
          <t>2 years</t>
        </is>
      </c>
      <c r="AH90" s="10" t="inlineStr">
        <is>
          <t>250 to 300 fruits</t>
        </is>
      </c>
      <c r="AI90" s="10" t="inlineStr">
        <is>
          <t>July to December</t>
        </is>
      </c>
      <c r="AJ90" s="10" t="inlineStr">
        <is>
          <t>Medium to Large</t>
        </is>
      </c>
      <c r="AK90" s="11" t="n"/>
      <c r="AL90" s="11" t="n"/>
      <c r="AM90" s="11" t="n"/>
      <c r="AN90" s="11" t="n"/>
      <c r="AO90" s="11" t="n"/>
      <c r="AP90" s="11" t="n"/>
      <c r="AQ90" s="11" t="n"/>
      <c r="AR90" s="10" t="inlineStr">
        <is>
          <t>https://hasiruagro.com/wp-content/uploads/2023/07/Lalbhag-Madhura-Jackfruit-F.webp</t>
        </is>
      </c>
      <c r="AS90" s="11" t="n"/>
      <c r="AT90" s="11" t="n"/>
    </row>
    <row r="91">
      <c r="A91" s="10" t="inlineStr">
        <is>
          <t>HA0088</t>
        </is>
      </c>
      <c r="B91" s="10" t="inlineStr">
        <is>
          <t>Lilli Pilli</t>
        </is>
      </c>
      <c r="C91" s="11" t="n"/>
      <c r="D91" s="10" t="inlineStr">
        <is>
          <t>Exotic fruits</t>
        </is>
      </c>
      <c r="E91" s="11" t="inlineStr">
        <is>
          <t>Fruiting Trees</t>
        </is>
      </c>
      <c r="F91" s="11" t="inlineStr">
        <is>
          <t>Exotic</t>
        </is>
      </c>
      <c r="G91" s="11" t="inlineStr">
        <is>
          <t>Yes</t>
        </is>
      </c>
      <c r="H91" s="11" t="inlineStr">
        <is>
          <t>No</t>
        </is>
      </c>
      <c r="I91" s="10" t="inlineStr">
        <is>
          <t>Seeded</t>
        </is>
      </c>
      <c r="J91" s="11" t="n"/>
      <c r="K91" s="11" t="n"/>
      <c r="L91" s="11" t="n"/>
      <c r="M91" s="11" t="n"/>
      <c r="N91" s="11" t="n"/>
      <c r="O91" s="12" t="n">
        <v>1100</v>
      </c>
      <c r="P91" s="12" t="n">
        <v>770</v>
      </c>
      <c r="Q91" s="12" t="n">
        <v>450</v>
      </c>
      <c r="R91" s="11" t="n"/>
      <c r="S91" s="13" t="n"/>
      <c r="T91" s="10" t="n">
        <v>0</v>
      </c>
      <c r="U91" s="11" t="n"/>
      <c r="V91" s="11" t="inlineStr">
        <is>
          <t>Out of Stock</t>
        </is>
      </c>
      <c r="W91" s="11" t="n"/>
      <c r="X91" s="11" t="n"/>
      <c r="Y91" s="10" t="n"/>
      <c r="Z91" s="10" t="n"/>
      <c r="AA91" s="14">
        <f>IF(AND(N(Y91)&gt;0,N(Z91)&gt;0),ROUND(43560/(Y91*Z91),0),"")</f>
        <v/>
      </c>
      <c r="AB91" s="10" t="n"/>
      <c r="AC91" s="10" t="inlineStr">
        <is>
          <t>Full sun</t>
        </is>
      </c>
      <c r="AD91" s="11" t="n"/>
      <c r="AE91" s="10" t="inlineStr">
        <is>
          <t>20°C to 40 °C</t>
        </is>
      </c>
      <c r="AF91" s="10" t="inlineStr">
        <is>
          <t>Small to Medium tree</t>
        </is>
      </c>
      <c r="AG91" s="10" t="inlineStr">
        <is>
          <t>4 years</t>
        </is>
      </c>
      <c r="AH91" s="10" t="inlineStr">
        <is>
          <t>100Kgs to 200Kgs per year</t>
        </is>
      </c>
      <c r="AI91" s="10" t="inlineStr">
        <is>
          <t>Round the yesr</t>
        </is>
      </c>
      <c r="AJ91" s="10" t="inlineStr">
        <is>
          <t>50gms to 70gms</t>
        </is>
      </c>
      <c r="AK91" s="11" t="n"/>
      <c r="AL91" s="11" t="n"/>
      <c r="AM91" s="11" t="n"/>
      <c r="AN91" s="11" t="n"/>
      <c r="AO91" s="11" t="n"/>
      <c r="AP91" s="11" t="n"/>
      <c r="AQ91" s="11" t="n"/>
      <c r="AR91" s="10" t="inlineStr">
        <is>
          <t>https://hasiruagro.com/wp-content/uploads/2023/08/Lilli-Pilli-Fruit-image-Hasiruagro.jpg</t>
        </is>
      </c>
      <c r="AS91" s="11" t="n"/>
      <c r="AT91" s="11" t="n"/>
    </row>
    <row r="92">
      <c r="A92" s="10" t="inlineStr">
        <is>
          <t>HA0089</t>
        </is>
      </c>
      <c r="B92" s="10" t="inlineStr">
        <is>
          <t>Litchi seedless</t>
        </is>
      </c>
      <c r="C92" s="11" t="n"/>
      <c r="D92" s="10" t="inlineStr">
        <is>
          <t>Desi Fruits</t>
        </is>
      </c>
      <c r="E92" s="11" t="inlineStr">
        <is>
          <t>Fruiting Trees</t>
        </is>
      </c>
      <c r="F92" s="11" t="inlineStr">
        <is>
          <t>Desi</t>
        </is>
      </c>
      <c r="G92" s="11" t="inlineStr">
        <is>
          <t>Yes</t>
        </is>
      </c>
      <c r="H92" s="11" t="inlineStr">
        <is>
          <t>No</t>
        </is>
      </c>
      <c r="I92" s="10" t="inlineStr">
        <is>
          <t>Grafted</t>
        </is>
      </c>
      <c r="J92" s="11" t="n"/>
      <c r="K92" s="11" t="n"/>
      <c r="L92" s="11" t="n"/>
      <c r="M92" s="11" t="n"/>
      <c r="N92" s="11" t="n"/>
      <c r="O92" s="12" t="n">
        <v>680</v>
      </c>
      <c r="P92" s="12" t="n">
        <v>475</v>
      </c>
      <c r="Q92" s="12" t="n">
        <v>200</v>
      </c>
      <c r="R92" s="11" t="n"/>
      <c r="S92" s="13" t="n"/>
      <c r="T92" s="10" t="n">
        <v>0</v>
      </c>
      <c r="U92" s="11" t="n"/>
      <c r="V92" s="11" t="inlineStr">
        <is>
          <t>Out of Stock</t>
        </is>
      </c>
      <c r="W92" s="11" t="n"/>
      <c r="X92" s="11" t="n"/>
      <c r="Y92" s="10" t="n">
        <v>25</v>
      </c>
      <c r="Z92" s="10" t="n">
        <v>25</v>
      </c>
      <c r="AA92" s="14">
        <f>IF(AND(N(Y92)&gt;0,N(Z92)&gt;0),ROUND(43560/(Y92*Z92),0),"")</f>
        <v/>
      </c>
      <c r="AB92" s="10" t="inlineStr">
        <is>
          <t>25ft x 25ft</t>
        </is>
      </c>
      <c r="AC92" s="10" t="inlineStr">
        <is>
          <t>Full sun</t>
        </is>
      </c>
      <c r="AD92" s="11" t="n"/>
      <c r="AE92" s="10" t="inlineStr">
        <is>
          <t>15°C to 38°C</t>
        </is>
      </c>
      <c r="AF92" s="10" t="inlineStr">
        <is>
          <t>Medium sized tree</t>
        </is>
      </c>
      <c r="AG92" s="10" t="inlineStr">
        <is>
          <t>3 years</t>
        </is>
      </c>
      <c r="AH92" s="10" t="inlineStr">
        <is>
          <t>80Kg to 150Kg</t>
        </is>
      </c>
      <c r="AI92" s="10" t="inlineStr">
        <is>
          <t>April to July</t>
        </is>
      </c>
      <c r="AJ92" s="10" t="inlineStr">
        <is>
          <t>50gms to 70gms</t>
        </is>
      </c>
      <c r="AK92" s="11" t="n"/>
      <c r="AL92" s="11" t="n"/>
      <c r="AM92" s="11" t="n"/>
      <c r="AN92" s="11" t="n"/>
      <c r="AO92" s="11" t="n"/>
      <c r="AP92" s="11" t="n"/>
      <c r="AQ92" s="11" t="n"/>
      <c r="AR92" s="10" t="inlineStr">
        <is>
          <t>https://hasiruagro.com/wp-content/uploads/2023/08/Litchi-Seedless-F.jpg</t>
        </is>
      </c>
      <c r="AS92" s="11" t="n"/>
      <c r="AT92" s="11" t="n"/>
    </row>
    <row r="93">
      <c r="A93" s="10" t="inlineStr">
        <is>
          <t>HA0090</t>
        </is>
      </c>
      <c r="B93" s="10" t="inlineStr">
        <is>
          <t>Longon</t>
        </is>
      </c>
      <c r="C93" s="11" t="n"/>
      <c r="D93" s="10" t="inlineStr">
        <is>
          <t>Exotic fruits</t>
        </is>
      </c>
      <c r="E93" s="11" t="inlineStr">
        <is>
          <t>Fruiting Trees</t>
        </is>
      </c>
      <c r="F93" s="11" t="inlineStr">
        <is>
          <t>Exotic</t>
        </is>
      </c>
      <c r="G93" s="11" t="inlineStr">
        <is>
          <t>Yes</t>
        </is>
      </c>
      <c r="H93" s="11" t="inlineStr">
        <is>
          <t>No</t>
        </is>
      </c>
      <c r="I93" s="10" t="inlineStr">
        <is>
          <t>Seeded</t>
        </is>
      </c>
      <c r="J93" s="11" t="n"/>
      <c r="K93" s="11" t="n"/>
      <c r="L93" s="11" t="n"/>
      <c r="M93" s="11" t="n"/>
      <c r="N93" s="11" t="n"/>
      <c r="O93" s="12" t="n">
        <v>2800</v>
      </c>
      <c r="P93" s="12" t="n">
        <v>1960</v>
      </c>
      <c r="Q93" s="12" t="n">
        <v>1300</v>
      </c>
      <c r="R93" s="11" t="n"/>
      <c r="S93" s="13" t="n"/>
      <c r="T93" s="10" t="n">
        <v>0</v>
      </c>
      <c r="U93" s="11" t="n"/>
      <c r="V93" s="11" t="inlineStr">
        <is>
          <t>Out of Stock</t>
        </is>
      </c>
      <c r="W93" s="11" t="n"/>
      <c r="X93" s="11" t="n"/>
      <c r="Y93" s="10" t="n"/>
      <c r="Z93" s="10" t="n"/>
      <c r="AA93" s="14">
        <f>IF(AND(N(Y93)&gt;0,N(Z93)&gt;0),ROUND(43560/(Y93*Z93),0),"")</f>
        <v/>
      </c>
      <c r="AB93" s="10" t="n"/>
      <c r="AC93" s="10" t="inlineStr">
        <is>
          <t>Full sun</t>
        </is>
      </c>
      <c r="AD93" s="11" t="n"/>
      <c r="AE93" s="10" t="inlineStr">
        <is>
          <t>20°C to 35°C</t>
        </is>
      </c>
      <c r="AF93" s="10" t="inlineStr">
        <is>
          <t>Small to medium sized tree</t>
        </is>
      </c>
      <c r="AG93" s="10" t="inlineStr">
        <is>
          <t>3 years</t>
        </is>
      </c>
      <c r="AH93" s="10" t="inlineStr">
        <is>
          <t>150Kgs to 200Kgs per tree</t>
        </is>
      </c>
      <c r="AI93" s="10" t="inlineStr">
        <is>
          <t>January to August</t>
        </is>
      </c>
      <c r="AJ93" s="10" t="inlineStr">
        <is>
          <t>3gm to 800gm</t>
        </is>
      </c>
      <c r="AK93" s="11" t="n"/>
      <c r="AL93" s="11" t="n"/>
      <c r="AM93" s="11" t="n"/>
      <c r="AN93" s="11" t="n"/>
      <c r="AO93" s="11" t="n"/>
      <c r="AP93" s="11" t="n"/>
      <c r="AQ93" s="11" t="n"/>
      <c r="AR93" s="10" t="inlineStr">
        <is>
          <t>https://hasiruagro.com/wp-content/uploads/2023/08/Longan-F.jpg</t>
        </is>
      </c>
      <c r="AS93" s="11" t="n"/>
      <c r="AT93" s="11" t="n"/>
    </row>
    <row r="94">
      <c r="A94" s="10" t="inlineStr">
        <is>
          <t>HA0091</t>
        </is>
      </c>
      <c r="B94" s="10" t="inlineStr">
        <is>
          <t>Australian Macadamia Nut plant</t>
        </is>
      </c>
      <c r="C94" s="11" t="n"/>
      <c r="D94" s="10" t="inlineStr">
        <is>
          <t>Exotic fruits</t>
        </is>
      </c>
      <c r="E94" s="11" t="inlineStr">
        <is>
          <t>Fruiting Trees</t>
        </is>
      </c>
      <c r="F94" s="11" t="inlineStr">
        <is>
          <t>Exotic</t>
        </is>
      </c>
      <c r="G94" s="11" t="inlineStr">
        <is>
          <t>Yes</t>
        </is>
      </c>
      <c r="H94" s="11" t="inlineStr">
        <is>
          <t>No</t>
        </is>
      </c>
      <c r="I94" s="10" t="inlineStr">
        <is>
          <t>Seeded</t>
        </is>
      </c>
      <c r="J94" s="11" t="n"/>
      <c r="K94" s="11" t="n"/>
      <c r="L94" s="11" t="n"/>
      <c r="M94" s="11" t="n"/>
      <c r="N94" s="11" t="n"/>
      <c r="O94" s="12" t="n">
        <v>1925</v>
      </c>
      <c r="P94" s="12" t="n">
        <v>770</v>
      </c>
      <c r="Q94" s="12" t="n">
        <v>400</v>
      </c>
      <c r="R94" s="11" t="n"/>
      <c r="S94" s="13" t="n"/>
      <c r="T94" s="10" t="n">
        <v>3807</v>
      </c>
      <c r="U94" s="11" t="n"/>
      <c r="V94" s="11" t="inlineStr">
        <is>
          <t>Available</t>
        </is>
      </c>
      <c r="W94" s="11" t="n"/>
      <c r="X94" s="11" t="n"/>
      <c r="Y94" s="10" t="n">
        <v>18</v>
      </c>
      <c r="Z94" s="10" t="n">
        <v>18</v>
      </c>
      <c r="AA94" s="14">
        <f>IF(AND(N(Y94)&gt;0,N(Z94)&gt;0),ROUND(43560/(Y94*Z94),0),"")</f>
        <v/>
      </c>
      <c r="AB94" s="10" t="inlineStr">
        <is>
          <t>18ft x 18ft</t>
        </is>
      </c>
      <c r="AC94" s="10" t="inlineStr">
        <is>
          <t>Full sun</t>
        </is>
      </c>
      <c r="AD94" s="11" t="n"/>
      <c r="AE94" s="10" t="inlineStr">
        <is>
          <t>20°C to 45°C</t>
        </is>
      </c>
      <c r="AF94" s="10" t="inlineStr">
        <is>
          <t>Medium to large tree (50ft to 80ft tall)</t>
        </is>
      </c>
      <c r="AG94" s="10" t="inlineStr">
        <is>
          <t>5 years</t>
        </is>
      </c>
      <c r="AH94" s="10" t="inlineStr">
        <is>
          <t>35Kg to 50Kg</t>
        </is>
      </c>
      <c r="AI94" s="10" t="inlineStr">
        <is>
          <t>March to September</t>
        </is>
      </c>
      <c r="AJ94" s="10" t="inlineStr">
        <is>
          <t>15gm to 25gm</t>
        </is>
      </c>
      <c r="AK94" s="11" t="n"/>
      <c r="AL94" s="11" t="n"/>
      <c r="AM94" s="11" t="n"/>
      <c r="AN94" s="11" t="n"/>
      <c r="AO94" s="11" t="n"/>
      <c r="AP94" s="11" t="n"/>
      <c r="AQ94" s="11" t="n"/>
      <c r="AR94" s="10" t="inlineStr">
        <is>
          <t>https://hasiruagro.com/wp-content/uploads/2023/07/Australian-Macadamia-Nuts-plant-Hasiruagro.webp</t>
        </is>
      </c>
      <c r="AS94" s="11" t="n"/>
      <c r="AT94" s="11" t="n"/>
    </row>
    <row r="95">
      <c r="A95" s="10" t="inlineStr">
        <is>
          <t>HA0092</t>
        </is>
      </c>
      <c r="B95" s="10" t="inlineStr">
        <is>
          <t>Mahagony</t>
        </is>
      </c>
      <c r="C95" s="11" t="n"/>
      <c r="D95" s="10" t="inlineStr">
        <is>
          <t>Forestry</t>
        </is>
      </c>
      <c r="E95" s="11" t="inlineStr">
        <is>
          <t>Timber Trees</t>
        </is>
      </c>
      <c r="F95" s="11" t="n"/>
      <c r="G95" s="11" t="inlineStr">
        <is>
          <t>Yes</t>
        </is>
      </c>
      <c r="H95" s="11" t="inlineStr">
        <is>
          <t>No</t>
        </is>
      </c>
      <c r="I95" s="10" t="inlineStr">
        <is>
          <t>Seeded</t>
        </is>
      </c>
      <c r="J95" s="11" t="n"/>
      <c r="K95" s="11" t="n"/>
      <c r="L95" s="11" t="n"/>
      <c r="M95" s="11" t="n"/>
      <c r="N95" s="11" t="n"/>
      <c r="O95" s="12" t="n">
        <v>360</v>
      </c>
      <c r="P95" s="12" t="n">
        <v>250</v>
      </c>
      <c r="Q95" s="12" t="n">
        <v>60</v>
      </c>
      <c r="R95" s="11" t="n"/>
      <c r="S95" s="13" t="n"/>
      <c r="T95" s="10" t="n">
        <v>12</v>
      </c>
      <c r="U95" s="11" t="n"/>
      <c r="V95" s="11" t="inlineStr">
        <is>
          <t>Available</t>
        </is>
      </c>
      <c r="W95" s="11" t="n"/>
      <c r="X95" s="11" t="n"/>
      <c r="Y95" s="10" t="n">
        <v>25</v>
      </c>
      <c r="Z95" s="10" t="n">
        <v>25</v>
      </c>
      <c r="AA95" s="14">
        <f>IF(AND(N(Y95)&gt;0,N(Z95)&gt;0),ROUND(43560/(Y95*Z95),0),"")</f>
        <v/>
      </c>
      <c r="AB95" s="10" t="inlineStr">
        <is>
          <t>25ft x 25ft</t>
        </is>
      </c>
      <c r="AC95" s="10" t="inlineStr">
        <is>
          <t>Full sun</t>
        </is>
      </c>
      <c r="AD95" s="11" t="n"/>
      <c r="AE95" s="10" t="inlineStr">
        <is>
          <t>20°C to 40°C</t>
        </is>
      </c>
      <c r="AF95" s="10" t="inlineStr">
        <is>
          <t>30ft to 60ft tall</t>
        </is>
      </c>
      <c r="AG95" s="10" t="inlineStr">
        <is>
          <t>10 years</t>
        </is>
      </c>
      <c r="AH95" s="10" t="inlineStr">
        <is>
          <t>30 to 50 cft of lumber</t>
        </is>
      </c>
      <c r="AI95" s="10" t="n"/>
      <c r="AJ95" s="10" t="n"/>
      <c r="AK95" s="11" t="n"/>
      <c r="AL95" s="11" t="n"/>
      <c r="AM95" s="11" t="n"/>
      <c r="AN95" s="11" t="n"/>
      <c r="AO95" s="11" t="n"/>
      <c r="AP95" s="11" t="n"/>
      <c r="AQ95" s="11" t="n"/>
      <c r="AR95" s="10" t="inlineStr">
        <is>
          <t>https://hasiruagro.com/wp-content/uploads/2023/08/mahogany.jpg</t>
        </is>
      </c>
      <c r="AS95" s="11" t="n"/>
      <c r="AT95" s="11" t="n"/>
    </row>
    <row r="96">
      <c r="A96" s="10" t="inlineStr">
        <is>
          <t>HA0094</t>
        </is>
      </c>
      <c r="B96" s="10" t="inlineStr">
        <is>
          <t>Malaysian dwarf Jackfruit</t>
        </is>
      </c>
      <c r="C96" s="11" t="n"/>
      <c r="D96" s="10" t="inlineStr">
        <is>
          <t>Desi Fruits</t>
        </is>
      </c>
      <c r="E96" s="11" t="inlineStr">
        <is>
          <t>Fruiting Trees</t>
        </is>
      </c>
      <c r="F96" s="11" t="inlineStr">
        <is>
          <t>Desi</t>
        </is>
      </c>
      <c r="G96" s="11" t="inlineStr">
        <is>
          <t>Yes</t>
        </is>
      </c>
      <c r="H96" s="11" t="inlineStr">
        <is>
          <t>No</t>
        </is>
      </c>
      <c r="I96" s="10" t="inlineStr">
        <is>
          <t>Grafted</t>
        </is>
      </c>
      <c r="J96" s="11" t="n"/>
      <c r="K96" s="11" t="n"/>
      <c r="L96" s="11" t="n"/>
      <c r="M96" s="11" t="n"/>
      <c r="N96" s="11" t="n"/>
      <c r="O96" s="12" t="n">
        <v>1262</v>
      </c>
      <c r="P96" s="12" t="n">
        <v>505</v>
      </c>
      <c r="Q96" s="12" t="n">
        <v>260</v>
      </c>
      <c r="R96" s="11" t="n"/>
      <c r="S96" s="13" t="n"/>
      <c r="T96" s="10" t="n">
        <v>0</v>
      </c>
      <c r="U96" s="11" t="n"/>
      <c r="V96" s="11" t="inlineStr">
        <is>
          <t>Out of Stock</t>
        </is>
      </c>
      <c r="W96" s="11" t="n"/>
      <c r="X96" s="11" t="n"/>
      <c r="Y96" s="10" t="n">
        <v>20</v>
      </c>
      <c r="Z96" s="10" t="n">
        <v>20</v>
      </c>
      <c r="AA96" s="14">
        <f>IF(AND(N(Y96)&gt;0,N(Z96)&gt;0),ROUND(43560/(Y96*Z96),0),"")</f>
        <v/>
      </c>
      <c r="AB96" s="10" t="inlineStr">
        <is>
          <t>20ft x 20ft</t>
        </is>
      </c>
      <c r="AC96" s="10" t="inlineStr">
        <is>
          <t>Open sun</t>
        </is>
      </c>
      <c r="AD96" s="11" t="n"/>
      <c r="AE96" s="10" t="inlineStr">
        <is>
          <t>20°C to 40 °C</t>
        </is>
      </c>
      <c r="AF96" s="10" t="inlineStr">
        <is>
          <t>Medium sized tree</t>
        </is>
      </c>
      <c r="AG96" s="10" t="inlineStr">
        <is>
          <t>2 years</t>
        </is>
      </c>
      <c r="AH96" s="10" t="inlineStr">
        <is>
          <t>150 to 200 fruits</t>
        </is>
      </c>
      <c r="AI96" s="10" t="inlineStr">
        <is>
          <t>July to December</t>
        </is>
      </c>
      <c r="AJ96" s="10" t="inlineStr">
        <is>
          <t>3-4 kg per fruit</t>
        </is>
      </c>
      <c r="AK96" s="11" t="n"/>
      <c r="AL96" s="11" t="n"/>
      <c r="AM96" s="11" t="n"/>
      <c r="AN96" s="11" t="n"/>
      <c r="AO96" s="11" t="n"/>
      <c r="AP96" s="11" t="n"/>
      <c r="AQ96" s="11" t="n"/>
      <c r="AR96" s="10" t="inlineStr">
        <is>
          <t>https://hasiruagro.com/wp-content/uploads/2023/07/Malaysian-dwarf-Jackfruit-fruit.webp</t>
        </is>
      </c>
      <c r="AS96" s="11" t="n"/>
      <c r="AT96" s="11" t="n"/>
    </row>
    <row r="97">
      <c r="A97" s="10" t="inlineStr">
        <is>
          <t>HA0095</t>
        </is>
      </c>
      <c r="B97" s="10" t="inlineStr">
        <is>
          <t>Mallika Mango</t>
        </is>
      </c>
      <c r="C97" s="11" t="n"/>
      <c r="D97" s="10" t="inlineStr">
        <is>
          <t>Desi Fruits</t>
        </is>
      </c>
      <c r="E97" s="11" t="inlineStr">
        <is>
          <t>Fruiting Trees</t>
        </is>
      </c>
      <c r="F97" s="11" t="inlineStr">
        <is>
          <t>Desi</t>
        </is>
      </c>
      <c r="G97" s="11" t="inlineStr">
        <is>
          <t>Yes</t>
        </is>
      </c>
      <c r="H97" s="11" t="inlineStr">
        <is>
          <t>No</t>
        </is>
      </c>
      <c r="I97" s="10" t="inlineStr">
        <is>
          <t>Grafted</t>
        </is>
      </c>
      <c r="J97" s="11" t="n"/>
      <c r="K97" s="11" t="n"/>
      <c r="L97" s="11" t="n"/>
      <c r="M97" s="11" t="n"/>
      <c r="N97" s="11" t="n"/>
      <c r="O97" s="12" t="n">
        <v>700</v>
      </c>
      <c r="P97" s="12" t="n">
        <v>490</v>
      </c>
      <c r="Q97" s="12" t="n">
        <v>250</v>
      </c>
      <c r="R97" s="11" t="n"/>
      <c r="S97" s="13" t="n"/>
      <c r="T97" s="10" t="n">
        <v>286</v>
      </c>
      <c r="U97" s="11" t="n"/>
      <c r="V97" s="11" t="inlineStr">
        <is>
          <t>Available</t>
        </is>
      </c>
      <c r="W97" s="11" t="n"/>
      <c r="X97" s="11" t="n"/>
      <c r="Y97" s="10" t="n">
        <v>18</v>
      </c>
      <c r="Z97" s="10" t="n">
        <v>18</v>
      </c>
      <c r="AA97" s="14">
        <f>IF(AND(N(Y97)&gt;0,N(Z97)&gt;0),ROUND(43560/(Y97*Z97),0),"")</f>
        <v/>
      </c>
      <c r="AB97" s="10" t="inlineStr">
        <is>
          <t>18ft x 18ft</t>
        </is>
      </c>
      <c r="AC97" s="10" t="inlineStr">
        <is>
          <t>Open sun</t>
        </is>
      </c>
      <c r="AD97" s="11" t="n"/>
      <c r="AE97" s="10" t="inlineStr">
        <is>
          <t>20°C to 40 °C</t>
        </is>
      </c>
      <c r="AF97" s="10" t="inlineStr">
        <is>
          <t>Medium sized tree</t>
        </is>
      </c>
      <c r="AG97" s="10" t="inlineStr">
        <is>
          <t>2 years</t>
        </is>
      </c>
      <c r="AH97" s="10" t="inlineStr">
        <is>
          <t>300 to 500 fruits</t>
        </is>
      </c>
      <c r="AI97" s="10" t="inlineStr">
        <is>
          <t>April to August</t>
        </is>
      </c>
      <c r="AJ97" s="10" t="inlineStr">
        <is>
          <t>100gm to 150gm</t>
        </is>
      </c>
      <c r="AK97" s="11" t="n"/>
      <c r="AL97" s="11" t="n"/>
      <c r="AM97" s="11" t="n"/>
      <c r="AN97" s="11" t="n"/>
      <c r="AO97" s="11" t="n"/>
      <c r="AP97" s="11" t="n"/>
      <c r="AQ97" s="11" t="n"/>
      <c r="AR97" s="10" t="inlineStr">
        <is>
          <t>https://hasiruagro.com/wp-content/uploads/2023/08/Mallika-Mango-F.jpg</t>
        </is>
      </c>
      <c r="AS97" s="11" t="n"/>
      <c r="AT97" s="11" t="n"/>
    </row>
    <row r="98">
      <c r="A98" s="10" t="inlineStr">
        <is>
          <t>HA0096</t>
        </is>
      </c>
      <c r="B98" s="10" t="inlineStr">
        <is>
          <t>Mandarin Orange</t>
        </is>
      </c>
      <c r="C98" s="11" t="n"/>
      <c r="D98" s="10" t="inlineStr">
        <is>
          <t>Exotic fruits</t>
        </is>
      </c>
      <c r="E98" s="11" t="inlineStr">
        <is>
          <t>Fruiting Trees</t>
        </is>
      </c>
      <c r="F98" s="11" t="inlineStr">
        <is>
          <t>Exotic</t>
        </is>
      </c>
      <c r="G98" s="11" t="inlineStr">
        <is>
          <t>Yes</t>
        </is>
      </c>
      <c r="H98" s="11" t="inlineStr">
        <is>
          <t>No</t>
        </is>
      </c>
      <c r="I98" s="10" t="inlineStr">
        <is>
          <t>Grafted</t>
        </is>
      </c>
      <c r="J98" s="11" t="n"/>
      <c r="K98" s="11" t="n"/>
      <c r="L98" s="11" t="n"/>
      <c r="M98" s="11" t="n"/>
      <c r="N98" s="11" t="n"/>
      <c r="O98" s="12" t="n">
        <v>560</v>
      </c>
      <c r="P98" s="12" t="n">
        <v>390</v>
      </c>
      <c r="Q98" s="12" t="n">
        <v>180</v>
      </c>
      <c r="R98" s="11" t="n"/>
      <c r="S98" s="13" t="n"/>
      <c r="T98" s="10" t="n">
        <v>18</v>
      </c>
      <c r="U98" s="11" t="n"/>
      <c r="V98" s="11" t="inlineStr">
        <is>
          <t>Available</t>
        </is>
      </c>
      <c r="W98" s="11" t="n"/>
      <c r="X98" s="11" t="n"/>
      <c r="Y98" s="10" t="n"/>
      <c r="Z98" s="10" t="n"/>
      <c r="AA98" s="14">
        <f>IF(AND(N(Y98)&gt;0,N(Z98)&gt;0),ROUND(43560/(Y98*Z98),0),"")</f>
        <v/>
      </c>
      <c r="AB98" s="10" t="n"/>
      <c r="AC98" s="10" t="inlineStr">
        <is>
          <t>Full sun</t>
        </is>
      </c>
      <c r="AD98" s="11" t="n"/>
      <c r="AE98" s="10" t="inlineStr">
        <is>
          <t>20°C to 40 °C</t>
        </is>
      </c>
      <c r="AF98" s="10" t="inlineStr">
        <is>
          <t>Medium tree</t>
        </is>
      </c>
      <c r="AG98" s="10" t="inlineStr">
        <is>
          <t>2 years</t>
        </is>
      </c>
      <c r="AH98" s="10" t="inlineStr">
        <is>
          <t>250 to 350 oranges per tree</t>
        </is>
      </c>
      <c r="AI98" s="10" t="inlineStr">
        <is>
          <t>Year round</t>
        </is>
      </c>
      <c r="AJ98" s="10" t="inlineStr">
        <is>
          <t>80gms to 150gms</t>
        </is>
      </c>
      <c r="AK98" s="11" t="n"/>
      <c r="AL98" s="11" t="n"/>
      <c r="AM98" s="11" t="n"/>
      <c r="AN98" s="11" t="n"/>
      <c r="AO98" s="11" t="n"/>
      <c r="AP98" s="11" t="n"/>
      <c r="AQ98" s="11" t="n"/>
      <c r="AR98" s="10" t="inlineStr">
        <is>
          <t>https://hasiruagro.com/wp-content/uploads/2023/07/Mandrin-Orange.webp</t>
        </is>
      </c>
      <c r="AS98" s="11" t="n"/>
      <c r="AT98" s="11" t="n"/>
    </row>
    <row r="99">
      <c r="A99" s="10" t="inlineStr">
        <is>
          <t>HA0097</t>
        </is>
      </c>
      <c r="B99" s="10" t="inlineStr">
        <is>
          <t>Mangosteen (1.5ft)</t>
        </is>
      </c>
      <c r="C99" s="11" t="n"/>
      <c r="D99" s="10" t="inlineStr">
        <is>
          <t>Exotic fruits</t>
        </is>
      </c>
      <c r="E99" s="11" t="inlineStr">
        <is>
          <t>Fruiting Trees</t>
        </is>
      </c>
      <c r="F99" s="11" t="inlineStr">
        <is>
          <t>Exotic</t>
        </is>
      </c>
      <c r="G99" s="11" t="inlineStr">
        <is>
          <t>Yes</t>
        </is>
      </c>
      <c r="H99" s="11" t="inlineStr">
        <is>
          <t>No</t>
        </is>
      </c>
      <c r="I99" s="10" t="inlineStr">
        <is>
          <t>Seeded</t>
        </is>
      </c>
      <c r="J99" s="11" t="n"/>
      <c r="K99" s="11" t="n"/>
      <c r="L99" s="11" t="n"/>
      <c r="M99" s="11" t="n"/>
      <c r="N99" s="11" t="n"/>
      <c r="O99" s="12" t="n">
        <v>900</v>
      </c>
      <c r="P99" s="12" t="n">
        <v>630</v>
      </c>
      <c r="Q99" s="12" t="n">
        <v>350</v>
      </c>
      <c r="R99" s="11" t="n"/>
      <c r="S99" s="13" t="n"/>
      <c r="T99" s="10" t="n">
        <v>162</v>
      </c>
      <c r="U99" s="11" t="n"/>
      <c r="V99" s="11" t="inlineStr">
        <is>
          <t>Available</t>
        </is>
      </c>
      <c r="W99" s="11" t="n"/>
      <c r="X99" s="11" t="n"/>
      <c r="Y99" s="10" t="n"/>
      <c r="Z99" s="10" t="n"/>
      <c r="AA99" s="14">
        <f>IF(AND(N(Y99)&gt;0,N(Z99)&gt;0),ROUND(43560/(Y99*Z99),0),"")</f>
        <v/>
      </c>
      <c r="AB99" s="10" t="n"/>
      <c r="AC99" s="10" t="inlineStr">
        <is>
          <t>Full shade</t>
        </is>
      </c>
      <c r="AD99" s="11" t="n"/>
      <c r="AE99" s="10" t="inlineStr">
        <is>
          <t>16°C to 35 °C</t>
        </is>
      </c>
      <c r="AF99" s="10" t="inlineStr">
        <is>
          <t>Medium tree</t>
        </is>
      </c>
      <c r="AG99" s="10" t="inlineStr">
        <is>
          <t>5 years</t>
        </is>
      </c>
      <c r="AH99" s="10" t="inlineStr">
        <is>
          <t>100Kgs to 200Kgs per tree</t>
        </is>
      </c>
      <c r="AI99" s="10" t="inlineStr">
        <is>
          <t>May to August</t>
        </is>
      </c>
      <c r="AJ99" s="10" t="inlineStr">
        <is>
          <t>150gms to 200gms</t>
        </is>
      </c>
      <c r="AK99" s="11" t="n"/>
      <c r="AL99" s="11" t="n"/>
      <c r="AM99" s="11" t="n"/>
      <c r="AN99" s="11" t="n"/>
      <c r="AO99" s="11" t="n"/>
      <c r="AP99" s="11" t="n"/>
      <c r="AQ99" s="11" t="n"/>
      <c r="AR99" s="10" t="inlineStr">
        <is>
          <t>https://hasiruagro.com/wp-content/uploads/2023/08/Mangosteen-F.jpg</t>
        </is>
      </c>
      <c r="AS99" s="11" t="n"/>
      <c r="AT99" s="11" t="n"/>
    </row>
    <row r="100">
      <c r="A100" s="10" t="inlineStr">
        <is>
          <t>HA0098</t>
        </is>
      </c>
      <c r="B100" s="10" t="inlineStr">
        <is>
          <t>Mangosteen (6ft)</t>
        </is>
      </c>
      <c r="C100" s="11" t="n"/>
      <c r="D100" s="10" t="inlineStr">
        <is>
          <t>Exotic fruits</t>
        </is>
      </c>
      <c r="E100" s="11" t="inlineStr">
        <is>
          <t>Fruiting Trees</t>
        </is>
      </c>
      <c r="F100" s="11" t="inlineStr">
        <is>
          <t>Exotic</t>
        </is>
      </c>
      <c r="G100" s="11" t="inlineStr">
        <is>
          <t>Yes</t>
        </is>
      </c>
      <c r="H100" s="11" t="inlineStr">
        <is>
          <t>No</t>
        </is>
      </c>
      <c r="I100" s="10" t="inlineStr">
        <is>
          <t>Seeded</t>
        </is>
      </c>
      <c r="J100" s="11" t="n"/>
      <c r="K100" s="11" t="n"/>
      <c r="L100" s="11" t="n"/>
      <c r="M100" s="11" t="n"/>
      <c r="N100" s="11" t="n"/>
      <c r="O100" s="12" t="n">
        <v>2180</v>
      </c>
      <c r="P100" s="12" t="n">
        <v>1525</v>
      </c>
      <c r="Q100" s="12" t="n">
        <v>990</v>
      </c>
      <c r="R100" s="11" t="n"/>
      <c r="S100" s="13" t="n"/>
      <c r="T100" s="10" t="n">
        <v>0</v>
      </c>
      <c r="U100" s="11" t="n"/>
      <c r="V100" s="11" t="inlineStr">
        <is>
          <t>Out of Stock</t>
        </is>
      </c>
      <c r="W100" s="11" t="n"/>
      <c r="X100" s="11" t="n"/>
      <c r="Y100" s="10" t="n"/>
      <c r="Z100" s="10" t="n"/>
      <c r="AA100" s="14">
        <f>IF(AND(N(Y100)&gt;0,N(Z100)&gt;0),ROUND(43560/(Y100*Z100),0),"")</f>
        <v/>
      </c>
      <c r="AB100" s="10" t="n"/>
      <c r="AC100" s="10" t="inlineStr">
        <is>
          <t>Full shade</t>
        </is>
      </c>
      <c r="AD100" s="11" t="n"/>
      <c r="AE100" s="10" t="inlineStr">
        <is>
          <t>16°C to 35 °C</t>
        </is>
      </c>
      <c r="AF100" s="10" t="inlineStr">
        <is>
          <t>Medium tree</t>
        </is>
      </c>
      <c r="AG100" s="10" t="inlineStr">
        <is>
          <t>3 years</t>
        </is>
      </c>
      <c r="AH100" s="10" t="inlineStr">
        <is>
          <t>100Kgs to 200Kgs per tree</t>
        </is>
      </c>
      <c r="AI100" s="10" t="inlineStr">
        <is>
          <t>May to August</t>
        </is>
      </c>
      <c r="AJ100" s="10" t="inlineStr">
        <is>
          <t>150gms to 200gms</t>
        </is>
      </c>
      <c r="AK100" s="11" t="n"/>
      <c r="AL100" s="11" t="n"/>
      <c r="AM100" s="11" t="n"/>
      <c r="AN100" s="11" t="n"/>
      <c r="AO100" s="11" t="n"/>
      <c r="AP100" s="11" t="n"/>
      <c r="AQ100" s="11" t="n"/>
      <c r="AR100" s="10" t="inlineStr">
        <is>
          <t>https://hasiruagro.com/wp-content/uploads/2023/08/Mangosteen-F.jpg</t>
        </is>
      </c>
      <c r="AS100" s="11" t="n"/>
      <c r="AT100" s="11" t="n"/>
    </row>
    <row r="101">
      <c r="A101" s="10" t="inlineStr">
        <is>
          <t>HA0099</t>
        </is>
      </c>
      <c r="B101" s="10" t="inlineStr">
        <is>
          <t>Mankale red Jackfruit</t>
        </is>
      </c>
      <c r="C101" s="11" t="n"/>
      <c r="D101" s="10" t="inlineStr">
        <is>
          <t>Desi Fruits</t>
        </is>
      </c>
      <c r="E101" s="11" t="inlineStr">
        <is>
          <t>Fruiting Trees</t>
        </is>
      </c>
      <c r="F101" s="11" t="inlineStr">
        <is>
          <t>Desi</t>
        </is>
      </c>
      <c r="G101" s="11" t="inlineStr">
        <is>
          <t>Yes</t>
        </is>
      </c>
      <c r="H101" s="11" t="inlineStr">
        <is>
          <t>No</t>
        </is>
      </c>
      <c r="I101" s="10" t="inlineStr">
        <is>
          <t>Grafted</t>
        </is>
      </c>
      <c r="J101" s="11" t="n"/>
      <c r="K101" s="11" t="n"/>
      <c r="L101" s="11" t="n"/>
      <c r="M101" s="11" t="n"/>
      <c r="N101" s="11" t="n"/>
      <c r="O101" s="12" t="n">
        <v>1225</v>
      </c>
      <c r="P101" s="12" t="n">
        <v>490</v>
      </c>
      <c r="Q101" s="12" t="n">
        <v>280</v>
      </c>
      <c r="R101" s="11" t="n"/>
      <c r="S101" s="13" t="n"/>
      <c r="T101" s="10" t="n">
        <v>0</v>
      </c>
      <c r="U101" s="11" t="n"/>
      <c r="V101" s="11" t="inlineStr">
        <is>
          <t>Out of Stock</t>
        </is>
      </c>
      <c r="W101" s="11" t="n"/>
      <c r="X101" s="11" t="n"/>
      <c r="Y101" s="10" t="n">
        <v>20</v>
      </c>
      <c r="Z101" s="10" t="n">
        <v>20</v>
      </c>
      <c r="AA101" s="14">
        <f>IF(AND(N(Y101)&gt;0,N(Z101)&gt;0),ROUND(43560/(Y101*Z101),0),"")</f>
        <v/>
      </c>
      <c r="AB101" s="10" t="inlineStr">
        <is>
          <t>20ft x 20ft</t>
        </is>
      </c>
      <c r="AC101" s="10" t="inlineStr">
        <is>
          <t>Open sun</t>
        </is>
      </c>
      <c r="AD101" s="11" t="n"/>
      <c r="AE101" s="10" t="inlineStr">
        <is>
          <t>20°C to 40 °C</t>
        </is>
      </c>
      <c r="AF101" s="10" t="inlineStr">
        <is>
          <t>Big tree</t>
        </is>
      </c>
      <c r="AG101" s="10" t="inlineStr">
        <is>
          <t>2 years</t>
        </is>
      </c>
      <c r="AH101" s="10" t="inlineStr">
        <is>
          <t>150 to 200 fruits</t>
        </is>
      </c>
      <c r="AI101" s="10" t="inlineStr">
        <is>
          <t>July to December</t>
        </is>
      </c>
      <c r="AJ101" s="10" t="inlineStr">
        <is>
          <t>Medium to Large</t>
        </is>
      </c>
      <c r="AK101" s="11" t="n"/>
      <c r="AL101" s="11" t="n"/>
      <c r="AM101" s="11" t="n"/>
      <c r="AN101" s="11" t="n"/>
      <c r="AO101" s="11" t="n"/>
      <c r="AP101" s="11" t="n"/>
      <c r="AQ101" s="11" t="n"/>
      <c r="AR101" s="10" t="inlineStr">
        <is>
          <t>https://hasiruagro.com/wp-content/uploads/2023/07/Mankale-red-Jackfruit-fruit-imag.webp</t>
        </is>
      </c>
      <c r="AS101" s="11" t="n"/>
      <c r="AT101" s="11" t="n"/>
    </row>
    <row r="102">
      <c r="A102" s="10" t="inlineStr">
        <is>
          <t>HA00100</t>
        </is>
      </c>
      <c r="B102" s="10" t="inlineStr">
        <is>
          <t>Maprang Mango</t>
        </is>
      </c>
      <c r="C102" s="11" t="n"/>
      <c r="D102" s="10" t="inlineStr">
        <is>
          <t>Exotic fruits</t>
        </is>
      </c>
      <c r="E102" s="11" t="inlineStr">
        <is>
          <t>Fruiting Trees</t>
        </is>
      </c>
      <c r="F102" s="11" t="inlineStr">
        <is>
          <t>Exotic</t>
        </is>
      </c>
      <c r="G102" s="11" t="inlineStr">
        <is>
          <t>Yes</t>
        </is>
      </c>
      <c r="H102" s="11" t="inlineStr">
        <is>
          <t>No</t>
        </is>
      </c>
      <c r="I102" s="10" t="inlineStr">
        <is>
          <t>Grafted</t>
        </is>
      </c>
      <c r="J102" s="11" t="n"/>
      <c r="K102" s="11" t="n"/>
      <c r="L102" s="11" t="n"/>
      <c r="M102" s="11" t="n"/>
      <c r="N102" s="11" t="n"/>
      <c r="O102" s="12" t="n">
        <v>1000</v>
      </c>
      <c r="P102" s="12" t="n">
        <v>700</v>
      </c>
      <c r="Q102" s="12" t="n">
        <v>400</v>
      </c>
      <c r="R102" s="11" t="n"/>
      <c r="S102" s="13" t="n"/>
      <c r="T102" s="10" t="n">
        <v>-1</v>
      </c>
      <c r="U102" s="11" t="n"/>
      <c r="V102" s="11" t="inlineStr">
        <is>
          <t>Out of Stock</t>
        </is>
      </c>
      <c r="W102" s="11" t="n"/>
      <c r="X102" s="11" t="n"/>
      <c r="Y102" s="10" t="n"/>
      <c r="Z102" s="10" t="n"/>
      <c r="AA102" s="14">
        <f>IF(AND(N(Y102)&gt;0,N(Z102)&gt;0),ROUND(43560/(Y102*Z102),0),"")</f>
        <v/>
      </c>
      <c r="AB102" s="10" t="n"/>
      <c r="AC102" s="10" t="inlineStr">
        <is>
          <t>Full sun</t>
        </is>
      </c>
      <c r="AD102" s="11" t="n"/>
      <c r="AE102" s="10" t="inlineStr">
        <is>
          <t>20°C to 40 °C</t>
        </is>
      </c>
      <c r="AF102" s="10" t="inlineStr">
        <is>
          <t>Medium tree</t>
        </is>
      </c>
      <c r="AG102" s="10" t="inlineStr">
        <is>
          <t>3 years</t>
        </is>
      </c>
      <c r="AH102" s="10" t="inlineStr">
        <is>
          <t>100Kgs to 200Kgs per tree</t>
        </is>
      </c>
      <c r="AI102" s="10" t="inlineStr">
        <is>
          <t>October to April</t>
        </is>
      </c>
      <c r="AJ102" s="10" t="inlineStr">
        <is>
          <t>150gms to 200gms</t>
        </is>
      </c>
      <c r="AK102" s="11" t="n"/>
      <c r="AL102" s="11" t="n"/>
      <c r="AM102" s="11" t="n"/>
      <c r="AN102" s="11" t="n"/>
      <c r="AO102" s="11" t="n"/>
      <c r="AP102" s="11" t="n"/>
      <c r="AQ102" s="11" t="n"/>
      <c r="AR102" s="10" t="inlineStr">
        <is>
          <t>https://hasiruagro.com/wp-content/uploads/2023/08/Maprang-Mango-F-.jpg</t>
        </is>
      </c>
      <c r="AS102" s="11" t="n"/>
      <c r="AT102" s="11" t="n"/>
    </row>
    <row r="103">
      <c r="A103" s="10" t="inlineStr">
        <is>
          <t>HA00101</t>
        </is>
      </c>
      <c r="B103" s="10" t="inlineStr">
        <is>
          <t>Mijar Gaint Jackfruit</t>
        </is>
      </c>
      <c r="C103" s="11" t="n"/>
      <c r="D103" s="10" t="inlineStr">
        <is>
          <t>Desi Fruits</t>
        </is>
      </c>
      <c r="E103" s="11" t="inlineStr">
        <is>
          <t>Fruiting Trees</t>
        </is>
      </c>
      <c r="F103" s="11" t="inlineStr">
        <is>
          <t>Desi</t>
        </is>
      </c>
      <c r="G103" s="11" t="inlineStr">
        <is>
          <t>Yes</t>
        </is>
      </c>
      <c r="H103" s="11" t="inlineStr">
        <is>
          <t>No</t>
        </is>
      </c>
      <c r="I103" s="10" t="inlineStr">
        <is>
          <t>Grafted</t>
        </is>
      </c>
      <c r="J103" s="11" t="n"/>
      <c r="K103" s="11" t="n"/>
      <c r="L103" s="11" t="n"/>
      <c r="M103" s="11" t="n"/>
      <c r="N103" s="11" t="n"/>
      <c r="O103" s="12" t="n">
        <v>1225</v>
      </c>
      <c r="P103" s="12" t="n">
        <v>490</v>
      </c>
      <c r="Q103" s="12" t="n">
        <v>260</v>
      </c>
      <c r="R103" s="11" t="n"/>
      <c r="S103" s="13" t="n"/>
      <c r="T103" s="10" t="n">
        <v>0</v>
      </c>
      <c r="U103" s="11" t="n"/>
      <c r="V103" s="11" t="inlineStr">
        <is>
          <t>Out of Stock</t>
        </is>
      </c>
      <c r="W103" s="11" t="n"/>
      <c r="X103" s="11" t="n"/>
      <c r="Y103" s="10" t="n">
        <v>20</v>
      </c>
      <c r="Z103" s="10" t="n">
        <v>20</v>
      </c>
      <c r="AA103" s="14">
        <f>IF(AND(N(Y103)&gt;0,N(Z103)&gt;0),ROUND(43560/(Y103*Z103),0),"")</f>
        <v/>
      </c>
      <c r="AB103" s="10" t="inlineStr">
        <is>
          <t>20ft x 20ft</t>
        </is>
      </c>
      <c r="AC103" s="10" t="inlineStr">
        <is>
          <t>Open sun</t>
        </is>
      </c>
      <c r="AD103" s="11" t="n"/>
      <c r="AE103" s="10" t="inlineStr">
        <is>
          <t>20°C to 40 °C</t>
        </is>
      </c>
      <c r="AF103" s="10" t="inlineStr">
        <is>
          <t>Big tree</t>
        </is>
      </c>
      <c r="AG103" s="10" t="inlineStr">
        <is>
          <t>2 years</t>
        </is>
      </c>
      <c r="AH103" s="10" t="inlineStr">
        <is>
          <t>250 to 300 fruits</t>
        </is>
      </c>
      <c r="AI103" s="10" t="inlineStr">
        <is>
          <t>July to December</t>
        </is>
      </c>
      <c r="AJ103" s="10" t="inlineStr">
        <is>
          <t>Medium to large (10 to 30 kg)</t>
        </is>
      </c>
      <c r="AK103" s="11" t="n"/>
      <c r="AL103" s="11" t="n"/>
      <c r="AM103" s="11" t="n"/>
      <c r="AN103" s="11" t="n"/>
      <c r="AO103" s="11" t="n"/>
      <c r="AP103" s="11" t="n"/>
      <c r="AQ103" s="11" t="n"/>
      <c r="AR103" s="10" t="inlineStr">
        <is>
          <t>https://hasiruagro.com/wp-content/uploads/2023/07/Mijar-Giant-Jackfruit-Fruit-imag.webp</t>
        </is>
      </c>
      <c r="AS103" s="11" t="n"/>
      <c r="AT103" s="11" t="n"/>
    </row>
    <row r="104">
      <c r="A104" s="10" t="inlineStr">
        <is>
          <t>HA00102</t>
        </is>
      </c>
      <c r="B104" s="10" t="inlineStr">
        <is>
          <t>Milk fruit</t>
        </is>
      </c>
      <c r="C104" s="11" t="n"/>
      <c r="D104" s="10" t="inlineStr">
        <is>
          <t>Exotic fruits</t>
        </is>
      </c>
      <c r="E104" s="11" t="inlineStr">
        <is>
          <t>Fruiting Trees</t>
        </is>
      </c>
      <c r="F104" s="11" t="inlineStr">
        <is>
          <t>Exotic</t>
        </is>
      </c>
      <c r="G104" s="11" t="inlineStr">
        <is>
          <t>Yes</t>
        </is>
      </c>
      <c r="H104" s="11" t="inlineStr">
        <is>
          <t>No</t>
        </is>
      </c>
      <c r="I104" s="10" t="inlineStr">
        <is>
          <t>Seeded</t>
        </is>
      </c>
      <c r="J104" s="11" t="n"/>
      <c r="K104" s="11" t="n"/>
      <c r="L104" s="11" t="n"/>
      <c r="M104" s="11" t="n"/>
      <c r="N104" s="11" t="n"/>
      <c r="O104" s="12" t="n">
        <v>1680</v>
      </c>
      <c r="P104" s="12" t="n">
        <v>1175</v>
      </c>
      <c r="Q104" s="12" t="n">
        <v>740</v>
      </c>
      <c r="R104" s="11" t="n"/>
      <c r="S104" s="13" t="n"/>
      <c r="T104" s="10" t="n">
        <v>0</v>
      </c>
      <c r="U104" s="11" t="n"/>
      <c r="V104" s="11" t="inlineStr">
        <is>
          <t>Out of Stock</t>
        </is>
      </c>
      <c r="W104" s="11" t="n"/>
      <c r="X104" s="11" t="n"/>
      <c r="Y104" s="10" t="n"/>
      <c r="Z104" s="10" t="n"/>
      <c r="AA104" s="14">
        <f>IF(AND(N(Y104)&gt;0,N(Z104)&gt;0),ROUND(43560/(Y104*Z104),0),"")</f>
        <v/>
      </c>
      <c r="AB104" s="10" t="n"/>
      <c r="AC104" s="10" t="inlineStr">
        <is>
          <t>Full shade</t>
        </is>
      </c>
      <c r="AD104" s="11" t="n"/>
      <c r="AE104" s="10" t="inlineStr">
        <is>
          <t>16°C to 35 °C</t>
        </is>
      </c>
      <c r="AF104" s="10" t="inlineStr">
        <is>
          <t>Medium tree</t>
        </is>
      </c>
      <c r="AG104" s="10" t="inlineStr">
        <is>
          <t>4 years</t>
        </is>
      </c>
      <c r="AH104" s="10" t="inlineStr">
        <is>
          <t>100Kgs to 200Kgs per tree</t>
        </is>
      </c>
      <c r="AI104" s="10" t="inlineStr">
        <is>
          <t>Alternate seasons</t>
        </is>
      </c>
      <c r="AJ104" s="10" t="inlineStr">
        <is>
          <t>150gms to 200gms</t>
        </is>
      </c>
      <c r="AK104" s="11" t="n"/>
      <c r="AL104" s="11" t="n"/>
      <c r="AM104" s="11" t="n"/>
      <c r="AN104" s="11" t="n"/>
      <c r="AO104" s="11" t="n"/>
      <c r="AP104" s="11" t="n"/>
      <c r="AQ104" s="11" t="n"/>
      <c r="AR104" s="10" t="inlineStr">
        <is>
          <t>https://hasiruagro.com/wp-content/uploads/2023/08/Milk-fruit-fruit-image-Hasiruagro.jpg</t>
        </is>
      </c>
      <c r="AS104" s="11" t="n"/>
      <c r="AT104" s="11" t="n"/>
    </row>
    <row r="105">
      <c r="A105" s="10" t="inlineStr">
        <is>
          <t>HA00103</t>
        </is>
      </c>
      <c r="B105" s="10" t="inlineStr">
        <is>
          <t>Miracle fruit</t>
        </is>
      </c>
      <c r="C105" s="11" t="n"/>
      <c r="D105" s="10" t="inlineStr">
        <is>
          <t>Exotic fruits</t>
        </is>
      </c>
      <c r="E105" s="11" t="inlineStr">
        <is>
          <t>Fruiting Trees</t>
        </is>
      </c>
      <c r="F105" s="11" t="inlineStr">
        <is>
          <t>Exotic</t>
        </is>
      </c>
      <c r="G105" s="11" t="inlineStr">
        <is>
          <t>Yes</t>
        </is>
      </c>
      <c r="H105" s="11" t="inlineStr">
        <is>
          <t>No</t>
        </is>
      </c>
      <c r="I105" s="10" t="inlineStr">
        <is>
          <t>Seeded</t>
        </is>
      </c>
      <c r="J105" s="11" t="n"/>
      <c r="K105" s="11" t="n"/>
      <c r="L105" s="11" t="n"/>
      <c r="M105" s="11" t="n"/>
      <c r="N105" s="11" t="n"/>
      <c r="O105" s="12" t="n">
        <v>2520</v>
      </c>
      <c r="P105" s="12" t="n">
        <v>1765</v>
      </c>
      <c r="Q105" s="12" t="n">
        <v>410</v>
      </c>
      <c r="R105" s="11" t="n"/>
      <c r="S105" s="13" t="n"/>
      <c r="T105" s="10" t="n">
        <v>100</v>
      </c>
      <c r="U105" s="11" t="n"/>
      <c r="V105" s="11" t="inlineStr">
        <is>
          <t>Available</t>
        </is>
      </c>
      <c r="W105" s="11" t="n"/>
      <c r="X105" s="11" t="n"/>
      <c r="Y105" s="10" t="n"/>
      <c r="Z105" s="10" t="n"/>
      <c r="AA105" s="14">
        <f>IF(AND(N(Y105)&gt;0,N(Z105)&gt;0),ROUND(43560/(Y105*Z105),0),"")</f>
        <v/>
      </c>
      <c r="AB105" s="10" t="n"/>
      <c r="AC105" s="10" t="inlineStr">
        <is>
          <t>Partial sun</t>
        </is>
      </c>
      <c r="AD105" s="11" t="n"/>
      <c r="AE105" s="10" t="inlineStr">
        <is>
          <t>20°C to 35°C</t>
        </is>
      </c>
      <c r="AF105" s="10" t="inlineStr">
        <is>
          <t>Bushy small sized plant</t>
        </is>
      </c>
      <c r="AG105" s="10" t="inlineStr">
        <is>
          <t>1 year</t>
        </is>
      </c>
      <c r="AH105" s="10" t="inlineStr">
        <is>
          <t>3Kgs to 5Kgs per plant</t>
        </is>
      </c>
      <c r="AI105" s="10" t="inlineStr">
        <is>
          <t>Yields year round</t>
        </is>
      </c>
      <c r="AJ105" s="10" t="inlineStr">
        <is>
          <t>5gm to 10gm</t>
        </is>
      </c>
      <c r="AK105" s="11" t="n"/>
      <c r="AL105" s="11" t="n"/>
      <c r="AM105" s="11" t="n"/>
      <c r="AN105" s="11" t="n"/>
      <c r="AO105" s="11" t="n"/>
      <c r="AP105" s="11" t="n"/>
      <c r="AQ105" s="11" t="n"/>
      <c r="AR105" s="10" t="inlineStr">
        <is>
          <t>https://hasiruagro.com/wp-content/uploads/2023/08/Miracle-Fruit-fruit-image-Hasiruagro.jpg</t>
        </is>
      </c>
      <c r="AS105" s="11" t="n"/>
      <c r="AT105" s="11" t="n"/>
    </row>
    <row r="106">
      <c r="A106" s="10" t="inlineStr">
        <is>
          <t>HA00104</t>
        </is>
      </c>
      <c r="B106" s="10" t="inlineStr">
        <is>
          <t>Japanese Miyazaki Mango Plant Grafted</t>
        </is>
      </c>
      <c r="C106" s="11" t="n"/>
      <c r="D106" s="10" t="inlineStr">
        <is>
          <t>Exotic fruits</t>
        </is>
      </c>
      <c r="E106" s="11" t="inlineStr">
        <is>
          <t>Fruiting Trees</t>
        </is>
      </c>
      <c r="F106" s="11" t="inlineStr">
        <is>
          <t>Exotic</t>
        </is>
      </c>
      <c r="G106" s="11" t="inlineStr">
        <is>
          <t>Yes</t>
        </is>
      </c>
      <c r="H106" s="11" t="inlineStr">
        <is>
          <t>No</t>
        </is>
      </c>
      <c r="I106" s="10" t="inlineStr">
        <is>
          <t>Grafted</t>
        </is>
      </c>
      <c r="J106" s="11" t="n"/>
      <c r="K106" s="11" t="n"/>
      <c r="L106" s="11" t="n"/>
      <c r="M106" s="11" t="n"/>
      <c r="N106" s="11" t="n"/>
      <c r="O106" s="12" t="n">
        <v>1600</v>
      </c>
      <c r="P106" s="12" t="n">
        <v>1120</v>
      </c>
      <c r="Q106" s="12" t="n">
        <v>680</v>
      </c>
      <c r="R106" s="11" t="n"/>
      <c r="S106" s="13" t="n"/>
      <c r="T106" s="10" t="n">
        <v>128</v>
      </c>
      <c r="U106" s="11" t="n"/>
      <c r="V106" s="11" t="inlineStr">
        <is>
          <t>Available</t>
        </is>
      </c>
      <c r="W106" s="11" t="n"/>
      <c r="X106" s="11" t="n"/>
      <c r="Y106" s="10" t="n"/>
      <c r="Z106" s="10" t="n"/>
      <c r="AA106" s="14">
        <f>IF(AND(N(Y106)&gt;0,N(Z106)&gt;0),ROUND(43560/(Y106*Z106),0),"")</f>
        <v/>
      </c>
      <c r="AB106" s="10" t="inlineStr">
        <is>
          <t>10-15 ft apart</t>
        </is>
      </c>
      <c r="AC106" s="10" t="inlineStr">
        <is>
          <t>Full sun</t>
        </is>
      </c>
      <c r="AD106" s="11" t="n"/>
      <c r="AE106" s="10" t="inlineStr">
        <is>
          <t>20°C to 40 °C</t>
        </is>
      </c>
      <c r="AF106" s="10" t="inlineStr">
        <is>
          <t>Medium to big tree</t>
        </is>
      </c>
      <c r="AG106" s="10" t="inlineStr">
        <is>
          <t>2 years</t>
        </is>
      </c>
      <c r="AH106" s="10" t="inlineStr">
        <is>
          <t>80Kgs to 100Kgs per tree</t>
        </is>
      </c>
      <c r="AI106" s="10" t="inlineStr">
        <is>
          <t>March to June</t>
        </is>
      </c>
      <c r="AJ106" s="10" t="inlineStr">
        <is>
          <t>150gms to 200gms</t>
        </is>
      </c>
      <c r="AK106" s="11" t="n"/>
      <c r="AL106" s="11" t="n"/>
      <c r="AM106" s="11" t="n"/>
      <c r="AN106" s="11" t="n"/>
      <c r="AO106" s="11" t="n"/>
      <c r="AP106" s="11" t="n"/>
      <c r="AQ106" s="11" t="n"/>
      <c r="AR106" s="10" t="inlineStr">
        <is>
          <t>https://hasiruagro.com/wp-content/uploads/2023/07/Miyazaki-Mango-fruit-image-Hasir.webp</t>
        </is>
      </c>
      <c r="AS106" s="11" t="n"/>
      <c r="AT106" s="11" t="n"/>
    </row>
    <row r="107">
      <c r="A107" s="10" t="inlineStr">
        <is>
          <t>HA00105</t>
        </is>
      </c>
      <c r="B107" s="10" t="inlineStr">
        <is>
          <t>Sweet Shahi Litchi (Air layered)</t>
        </is>
      </c>
      <c r="C107" s="11" t="n"/>
      <c r="D107" s="10" t="inlineStr">
        <is>
          <t>Desi Fruits</t>
        </is>
      </c>
      <c r="E107" s="11" t="inlineStr">
        <is>
          <t>Fruiting Trees</t>
        </is>
      </c>
      <c r="F107" s="11" t="inlineStr">
        <is>
          <t>Desi</t>
        </is>
      </c>
      <c r="G107" s="11" t="inlineStr">
        <is>
          <t>Yes</t>
        </is>
      </c>
      <c r="H107" s="11" t="inlineStr">
        <is>
          <t>No</t>
        </is>
      </c>
      <c r="I107" s="10" t="inlineStr">
        <is>
          <t>Grafted</t>
        </is>
      </c>
      <c r="J107" s="11" t="n"/>
      <c r="K107" s="11" t="n"/>
      <c r="L107" s="11" t="n"/>
      <c r="M107" s="11" t="n"/>
      <c r="N107" s="11" t="n"/>
      <c r="O107" s="12" t="n">
        <v>600</v>
      </c>
      <c r="P107" s="12" t="n">
        <v>420</v>
      </c>
      <c r="Q107" s="12" t="n">
        <v>200</v>
      </c>
      <c r="R107" s="11" t="n"/>
      <c r="S107" s="13" t="n"/>
      <c r="T107" s="10" t="n">
        <v>290</v>
      </c>
      <c r="U107" s="11" t="n"/>
      <c r="V107" s="11" t="inlineStr">
        <is>
          <t>Available</t>
        </is>
      </c>
      <c r="W107" s="11" t="n"/>
      <c r="X107" s="11" t="n"/>
      <c r="Y107" s="10" t="n">
        <v>25</v>
      </c>
      <c r="Z107" s="10" t="n">
        <v>25</v>
      </c>
      <c r="AA107" s="14">
        <f>IF(AND(N(Y107)&gt;0,N(Z107)&gt;0),ROUND(43560/(Y107*Z107),0),"")</f>
        <v/>
      </c>
      <c r="AB107" s="10" t="inlineStr">
        <is>
          <t>25ft x 25ft</t>
        </is>
      </c>
      <c r="AC107" s="10" t="inlineStr">
        <is>
          <t>Full sun</t>
        </is>
      </c>
      <c r="AD107" s="11" t="n"/>
      <c r="AE107" s="10" t="inlineStr">
        <is>
          <t>15°C to 38°C</t>
        </is>
      </c>
      <c r="AF107" s="10" t="inlineStr">
        <is>
          <t>Medium sized tree</t>
        </is>
      </c>
      <c r="AG107" s="10" t="inlineStr">
        <is>
          <t>3 years</t>
        </is>
      </c>
      <c r="AH107" s="10" t="inlineStr">
        <is>
          <t>80Kg to 150Kg</t>
        </is>
      </c>
      <c r="AI107" s="10" t="inlineStr">
        <is>
          <t>April to July</t>
        </is>
      </c>
      <c r="AJ107" s="10" t="inlineStr">
        <is>
          <t>50gms to 70gms</t>
        </is>
      </c>
      <c r="AK107" s="11" t="n"/>
      <c r="AL107" s="11" t="n"/>
      <c r="AM107" s="11" t="n"/>
      <c r="AN107" s="11" t="n"/>
      <c r="AO107" s="11" t="n"/>
      <c r="AP107" s="11" t="n"/>
      <c r="AQ107" s="11" t="n"/>
      <c r="AR107" s="10" t="inlineStr">
        <is>
          <t>https://hasiruagro.com/wp-content/uploads/2024/03/shahi-litchi-fruit-Hasiru-Agro.webp</t>
        </is>
      </c>
      <c r="AS107" s="11" t="n"/>
      <c r="AT107" s="11" t="n"/>
    </row>
    <row r="108">
      <c r="A108" s="10" t="inlineStr">
        <is>
          <t>HA00106</t>
        </is>
      </c>
      <c r="B108" s="10" t="inlineStr">
        <is>
          <t>Nagpur Orange</t>
        </is>
      </c>
      <c r="C108" s="11" t="n"/>
      <c r="D108" s="10" t="inlineStr">
        <is>
          <t>Desi Fruits</t>
        </is>
      </c>
      <c r="E108" s="11" t="inlineStr">
        <is>
          <t>Fruiting Trees</t>
        </is>
      </c>
      <c r="F108" s="11" t="inlineStr">
        <is>
          <t>Desi</t>
        </is>
      </c>
      <c r="G108" s="11" t="inlineStr">
        <is>
          <t>Yes</t>
        </is>
      </c>
      <c r="H108" s="11" t="inlineStr">
        <is>
          <t>No</t>
        </is>
      </c>
      <c r="I108" s="10" t="n"/>
      <c r="J108" s="11" t="n"/>
      <c r="K108" s="11" t="n"/>
      <c r="L108" s="11" t="n"/>
      <c r="M108" s="11" t="n"/>
      <c r="N108" s="11" t="n"/>
      <c r="O108" s="12" t="n">
        <v>500</v>
      </c>
      <c r="P108" s="12" t="n">
        <v>350</v>
      </c>
      <c r="Q108" s="12" t="n">
        <v>150</v>
      </c>
      <c r="R108" s="11" t="n"/>
      <c r="S108" s="13" t="n"/>
      <c r="T108" s="10" t="n">
        <v>198</v>
      </c>
      <c r="U108" s="11" t="n"/>
      <c r="V108" s="11" t="inlineStr">
        <is>
          <t>Available</t>
        </is>
      </c>
      <c r="W108" s="11" t="n"/>
      <c r="X108" s="11" t="n"/>
      <c r="Y108" s="10" t="n">
        <v>18</v>
      </c>
      <c r="Z108" s="10" t="n">
        <v>18</v>
      </c>
      <c r="AA108" s="14">
        <f>IF(AND(N(Y108)&gt;0,N(Z108)&gt;0),ROUND(43560/(Y108*Z108),0),"")</f>
        <v/>
      </c>
      <c r="AB108" s="10" t="inlineStr">
        <is>
          <t>18ft x 18ft</t>
        </is>
      </c>
      <c r="AC108" s="10" t="inlineStr">
        <is>
          <t>Open sun</t>
        </is>
      </c>
      <c r="AD108" s="11" t="n"/>
      <c r="AE108" s="10" t="inlineStr">
        <is>
          <t>15°C to 35 °C</t>
        </is>
      </c>
      <c r="AF108" s="10" t="inlineStr">
        <is>
          <t>Small tree</t>
        </is>
      </c>
      <c r="AG108" s="10" t="inlineStr">
        <is>
          <t>2 years</t>
        </is>
      </c>
      <c r="AH108" s="10" t="inlineStr">
        <is>
          <t>300 to 500 fruits</t>
        </is>
      </c>
      <c r="AI108" s="10" t="inlineStr">
        <is>
          <t>September to February</t>
        </is>
      </c>
      <c r="AJ108" s="10" t="inlineStr">
        <is>
          <t>50gm to 100gm</t>
        </is>
      </c>
      <c r="AK108" s="11" t="n"/>
      <c r="AL108" s="11" t="n"/>
      <c r="AM108" s="11" t="n"/>
      <c r="AN108" s="11" t="n"/>
      <c r="AO108" s="11" t="n"/>
      <c r="AP108" s="11" t="n"/>
      <c r="AQ108" s="11" t="n"/>
      <c r="AR108" s="10" t="inlineStr">
        <is>
          <t>https://hasiruagro.com/wp-content/uploads/2023/07/Nagpur-Orange.webp</t>
        </is>
      </c>
      <c r="AS108" s="11" t="n"/>
      <c r="AT108" s="11" t="n"/>
    </row>
    <row r="109">
      <c r="A109" s="10" t="inlineStr">
        <is>
          <t>HA00107</t>
        </is>
      </c>
      <c r="B109" s="10" t="inlineStr">
        <is>
          <t>Nutmeg (Grafted)</t>
        </is>
      </c>
      <c r="C109" s="11" t="n"/>
      <c r="D109" s="10" t="inlineStr">
        <is>
          <t>Spices</t>
        </is>
      </c>
      <c r="E109" s="11" t="inlineStr">
        <is>
          <t>Other Plants</t>
        </is>
      </c>
      <c r="F109" s="11" t="inlineStr">
        <is>
          <t>Spices</t>
        </is>
      </c>
      <c r="G109" s="11" t="inlineStr">
        <is>
          <t>Yes</t>
        </is>
      </c>
      <c r="H109" s="11" t="inlineStr">
        <is>
          <t>No</t>
        </is>
      </c>
      <c r="I109" s="10" t="inlineStr">
        <is>
          <t>Grafted</t>
        </is>
      </c>
      <c r="J109" s="11" t="n"/>
      <c r="K109" s="11" t="n"/>
      <c r="L109" s="11" t="n"/>
      <c r="M109" s="11" t="n"/>
      <c r="N109" s="11" t="n"/>
      <c r="O109" s="12" t="n">
        <v>1000</v>
      </c>
      <c r="P109" s="12" t="n">
        <v>700</v>
      </c>
      <c r="Q109" s="12" t="n">
        <v>400</v>
      </c>
      <c r="R109" s="11" t="n"/>
      <c r="S109" s="13" t="n"/>
      <c r="T109" s="10" t="n">
        <v>0</v>
      </c>
      <c r="U109" s="11" t="n"/>
      <c r="V109" s="11" t="inlineStr">
        <is>
          <t>Out of Stock</t>
        </is>
      </c>
      <c r="W109" s="11" t="n"/>
      <c r="X109" s="11" t="n"/>
      <c r="Y109" s="10" t="n"/>
      <c r="Z109" s="10" t="n"/>
      <c r="AA109" s="14">
        <f>IF(AND(N(Y109)&gt;0,N(Z109)&gt;0),ROUND(43560/(Y109*Z109),0),"")</f>
        <v/>
      </c>
      <c r="AB109" s="10" t="inlineStr">
        <is>
          <t>Medium tree</t>
        </is>
      </c>
      <c r="AC109" s="10" t="inlineStr">
        <is>
          <t>Partial shade</t>
        </is>
      </c>
      <c r="AD109" s="11" t="n"/>
      <c r="AE109" s="10" t="inlineStr">
        <is>
          <t>25 - 35° C</t>
        </is>
      </c>
      <c r="AF109" s="10" t="inlineStr">
        <is>
          <t>Medium tree</t>
        </is>
      </c>
      <c r="AG109" s="10" t="inlineStr">
        <is>
          <t>4-5 years</t>
        </is>
      </c>
      <c r="AH109" s="10" t="inlineStr">
        <is>
          <t>Dried nuts : 5-7 kg/treeDried mace : 0.5-0.7 Kg/tree</t>
        </is>
      </c>
      <c r="AI109" s="10" t="inlineStr">
        <is>
          <t>Throughout the year</t>
        </is>
      </c>
      <c r="AJ109" s="10" t="inlineStr">
        <is>
          <t>Dried nutmeg : 6-7 gMace : 3-4 g</t>
        </is>
      </c>
      <c r="AK109" s="11" t="n"/>
      <c r="AL109" s="11" t="n"/>
      <c r="AM109" s="11" t="n"/>
      <c r="AN109" s="11" t="n"/>
      <c r="AO109" s="11" t="n"/>
      <c r="AP109" s="11" t="n"/>
      <c r="AQ109" s="11" t="n"/>
      <c r="AR109" s="10" t="inlineStr">
        <is>
          <t>https://hasiruagro.com/wp-content/uploads/2023/08/Nutmeg-F.jpg</t>
        </is>
      </c>
      <c r="AS109" s="11" t="n"/>
      <c r="AT109" s="11" t="n"/>
    </row>
    <row r="110">
      <c r="A110" s="10" t="inlineStr">
        <is>
          <t>HA00108</t>
        </is>
      </c>
      <c r="B110" s="10" t="inlineStr">
        <is>
          <t>Nutmeg (Seeded)</t>
        </is>
      </c>
      <c r="C110" s="11" t="n"/>
      <c r="D110" s="10" t="inlineStr">
        <is>
          <t>Spices</t>
        </is>
      </c>
      <c r="E110" s="11" t="inlineStr">
        <is>
          <t>Other Plants</t>
        </is>
      </c>
      <c r="F110" s="11" t="inlineStr">
        <is>
          <t>Spices</t>
        </is>
      </c>
      <c r="G110" s="11" t="inlineStr">
        <is>
          <t>Yes</t>
        </is>
      </c>
      <c r="H110" s="11" t="inlineStr">
        <is>
          <t>No</t>
        </is>
      </c>
      <c r="I110" s="10" t="inlineStr">
        <is>
          <t>Seeded</t>
        </is>
      </c>
      <c r="J110" s="11" t="n"/>
      <c r="K110" s="11" t="n"/>
      <c r="L110" s="11" t="n"/>
      <c r="M110" s="11" t="n"/>
      <c r="N110" s="11" t="n"/>
      <c r="O110" s="12" t="n">
        <v>400</v>
      </c>
      <c r="P110" s="12" t="n">
        <v>280</v>
      </c>
      <c r="Q110" s="12" t="n">
        <v>100</v>
      </c>
      <c r="R110" s="11" t="n"/>
      <c r="S110" s="13" t="n"/>
      <c r="T110" s="10" t="n">
        <v>0</v>
      </c>
      <c r="U110" s="11" t="n"/>
      <c r="V110" s="11" t="inlineStr">
        <is>
          <t>Out of Stock</t>
        </is>
      </c>
      <c r="W110" s="11" t="n"/>
      <c r="X110" s="11" t="n"/>
      <c r="Y110" s="10" t="n"/>
      <c r="Z110" s="10" t="n"/>
      <c r="AA110" s="14">
        <f>IF(AND(N(Y110)&gt;0,N(Z110)&gt;0),ROUND(43560/(Y110*Z110),0),"")</f>
        <v/>
      </c>
      <c r="AB110" s="10" t="inlineStr">
        <is>
          <t>Climber (Perennial shrub)</t>
        </is>
      </c>
      <c r="AC110" s="10" t="inlineStr">
        <is>
          <t>Partial shade</t>
        </is>
      </c>
      <c r="AD110" s="11" t="n"/>
      <c r="AE110" s="10" t="inlineStr">
        <is>
          <t>25 - 35° C</t>
        </is>
      </c>
      <c r="AF110" s="10" t="inlineStr">
        <is>
          <t>Climber (Perennial shrub)</t>
        </is>
      </c>
      <c r="AG110" s="10" t="inlineStr">
        <is>
          <t>6-7 years</t>
        </is>
      </c>
      <c r="AH110" s="10" t="inlineStr">
        <is>
          <t>Dried nuts : 5-7 kg/treeDried mace : 0.5-0.7 Kg/tree</t>
        </is>
      </c>
      <c r="AI110" s="10" t="inlineStr">
        <is>
          <t>Throughout the year</t>
        </is>
      </c>
      <c r="AJ110" s="10" t="inlineStr">
        <is>
          <t>Dried nutmeg : 6-7 gMace : 3-4 g</t>
        </is>
      </c>
      <c r="AK110" s="11" t="n"/>
      <c r="AL110" s="11" t="n"/>
      <c r="AM110" s="11" t="n"/>
      <c r="AN110" s="11" t="n"/>
      <c r="AO110" s="11" t="n"/>
      <c r="AP110" s="11" t="n"/>
      <c r="AQ110" s="11" t="n"/>
      <c r="AR110" s="10" t="inlineStr">
        <is>
          <t>https://hasiruagro.com/wp-content/uploads/2023/08/Nutmeg-Seeded-Fruit-image-Hasiruagro.jpg</t>
        </is>
      </c>
      <c r="AS110" s="11" t="n"/>
      <c r="AT110" s="11" t="n"/>
    </row>
    <row r="111">
      <c r="A111" s="10" t="inlineStr">
        <is>
          <t>HA00109</t>
        </is>
      </c>
      <c r="B111" s="10" t="inlineStr">
        <is>
          <t>Olive</t>
        </is>
      </c>
      <c r="C111" s="11" t="n"/>
      <c r="D111" s="10" t="inlineStr">
        <is>
          <t>Exotic fruits</t>
        </is>
      </c>
      <c r="E111" s="11" t="inlineStr">
        <is>
          <t>Fruiting Trees</t>
        </is>
      </c>
      <c r="F111" s="11" t="inlineStr">
        <is>
          <t>Exotic</t>
        </is>
      </c>
      <c r="G111" s="11" t="inlineStr">
        <is>
          <t>Yes</t>
        </is>
      </c>
      <c r="H111" s="11" t="inlineStr">
        <is>
          <t>No</t>
        </is>
      </c>
      <c r="I111" s="10" t="inlineStr">
        <is>
          <t>Seeded</t>
        </is>
      </c>
      <c r="J111" s="11" t="n"/>
      <c r="K111" s="11" t="n"/>
      <c r="L111" s="11" t="n"/>
      <c r="M111" s="11" t="n"/>
      <c r="N111" s="11" t="n"/>
      <c r="O111" s="12" t="n">
        <v>900</v>
      </c>
      <c r="P111" s="12" t="n">
        <v>630</v>
      </c>
      <c r="Q111" s="12" t="n">
        <v>350</v>
      </c>
      <c r="R111" s="11" t="n"/>
      <c r="S111" s="13" t="n"/>
      <c r="T111" s="10" t="n">
        <v>51</v>
      </c>
      <c r="U111" s="11" t="n"/>
      <c r="V111" s="11" t="inlineStr">
        <is>
          <t>Available</t>
        </is>
      </c>
      <c r="W111" s="11" t="n"/>
      <c r="X111" s="11" t="n"/>
      <c r="Y111" s="10" t="n">
        <v>20</v>
      </c>
      <c r="Z111" s="10" t="n">
        <v>20</v>
      </c>
      <c r="AA111" s="14">
        <f>IF(AND(N(Y111)&gt;0,N(Z111)&gt;0),ROUND(43560/(Y111*Z111),0),"")</f>
        <v/>
      </c>
      <c r="AB111" s="10" t="inlineStr">
        <is>
          <t>20ft x 20ft</t>
        </is>
      </c>
      <c r="AC111" s="10" t="inlineStr">
        <is>
          <t>Full sun</t>
        </is>
      </c>
      <c r="AD111" s="11" t="n"/>
      <c r="AE111" s="10" t="inlineStr">
        <is>
          <t>20°C to 40 °C</t>
        </is>
      </c>
      <c r="AF111" s="10" t="inlineStr">
        <is>
          <t>Medium tree</t>
        </is>
      </c>
      <c r="AG111" s="10" t="inlineStr">
        <is>
          <t>5 years</t>
        </is>
      </c>
      <c r="AH111" s="10" t="inlineStr">
        <is>
          <t>60Kgs to 90Kgs per tree</t>
        </is>
      </c>
      <c r="AI111" s="10" t="inlineStr">
        <is>
          <t>September to November</t>
        </is>
      </c>
      <c r="AJ111" s="10" t="inlineStr">
        <is>
          <t>50gms to 70gms</t>
        </is>
      </c>
      <c r="AK111" s="11" t="n"/>
      <c r="AL111" s="11" t="n"/>
      <c r="AM111" s="11" t="n"/>
      <c r="AN111" s="11" t="n"/>
      <c r="AO111" s="11" t="n"/>
      <c r="AP111" s="11" t="n"/>
      <c r="AQ111" s="11" t="n"/>
      <c r="AR111" s="10" t="inlineStr">
        <is>
          <t>https://hasiruagro.com/wp-content/uploads/2023/08/Olive-F.jpg</t>
        </is>
      </c>
      <c r="AS111" s="11" t="n"/>
      <c r="AT111" s="11" t="n"/>
    </row>
    <row r="112">
      <c r="A112" s="10" t="inlineStr">
        <is>
          <t>HA00110</t>
        </is>
      </c>
      <c r="B112" s="10" t="inlineStr">
        <is>
          <t>Passion fruit</t>
        </is>
      </c>
      <c r="C112" s="11" t="n"/>
      <c r="D112" s="10" t="inlineStr">
        <is>
          <t>Exotic fruits</t>
        </is>
      </c>
      <c r="E112" s="11" t="inlineStr">
        <is>
          <t>Fruiting Trees</t>
        </is>
      </c>
      <c r="F112" s="11" t="inlineStr">
        <is>
          <t>Exotic</t>
        </is>
      </c>
      <c r="G112" s="11" t="inlineStr">
        <is>
          <t>Yes</t>
        </is>
      </c>
      <c r="H112" s="11" t="inlineStr">
        <is>
          <t>No</t>
        </is>
      </c>
      <c r="I112" s="10" t="inlineStr">
        <is>
          <t>Stem cuttings</t>
        </is>
      </c>
      <c r="J112" s="11" t="n"/>
      <c r="K112" s="11" t="n"/>
      <c r="L112" s="11" t="n"/>
      <c r="M112" s="11" t="n"/>
      <c r="N112" s="11" t="n"/>
      <c r="O112" s="12" t="n">
        <v>440</v>
      </c>
      <c r="P112" s="12" t="n">
        <v>310</v>
      </c>
      <c r="Q112" s="12" t="n">
        <v>120</v>
      </c>
      <c r="R112" s="11" t="n"/>
      <c r="S112" s="13" t="n"/>
      <c r="T112" s="10" t="n">
        <v>0</v>
      </c>
      <c r="U112" s="11" t="n"/>
      <c r="V112" s="11" t="inlineStr">
        <is>
          <t>Out of Stock</t>
        </is>
      </c>
      <c r="W112" s="11" t="n"/>
      <c r="X112" s="11" t="n"/>
      <c r="Y112" s="10" t="n"/>
      <c r="Z112" s="10" t="n"/>
      <c r="AA112" s="14">
        <f>IF(AND(N(Y112)&gt;0,N(Z112)&gt;0),ROUND(43560/(Y112*Z112),0),"")</f>
        <v/>
      </c>
      <c r="AB112" s="10" t="n"/>
      <c r="AC112" s="10" t="inlineStr">
        <is>
          <t>Partial sun</t>
        </is>
      </c>
      <c r="AD112" s="11" t="n"/>
      <c r="AE112" s="10" t="inlineStr">
        <is>
          <t>20°C to 40 °C</t>
        </is>
      </c>
      <c r="AF112" s="10" t="inlineStr">
        <is>
          <t>Climber</t>
        </is>
      </c>
      <c r="AG112" s="10" t="inlineStr">
        <is>
          <t>1 year</t>
        </is>
      </c>
      <c r="AH112" s="10" t="inlineStr">
        <is>
          <t>60Kgs to 90Kgs per tree</t>
        </is>
      </c>
      <c r="AI112" s="10" t="inlineStr">
        <is>
          <t>Alternate seasons</t>
        </is>
      </c>
      <c r="AJ112" s="10" t="inlineStr">
        <is>
          <t>150gms to 200gms</t>
        </is>
      </c>
      <c r="AK112" s="11" t="n"/>
      <c r="AL112" s="11" t="n"/>
      <c r="AM112" s="11" t="n"/>
      <c r="AN112" s="11" t="n"/>
      <c r="AO112" s="11" t="n"/>
      <c r="AP112" s="11" t="n"/>
      <c r="AQ112" s="11" t="n"/>
      <c r="AR112" s="10" t="inlineStr">
        <is>
          <t>https://hasiruagro.com/wp-content/uploads/2023/08/Passion-Fruit-F.jpg</t>
        </is>
      </c>
      <c r="AS112" s="11" t="n"/>
      <c r="AT112" s="11" t="n"/>
    </row>
    <row r="113">
      <c r="A113" s="10" t="inlineStr">
        <is>
          <t>HA00111</t>
        </is>
      </c>
      <c r="B113" s="10" t="inlineStr">
        <is>
          <t>Peach</t>
        </is>
      </c>
      <c r="C113" s="11" t="n"/>
      <c r="D113" s="10" t="inlineStr">
        <is>
          <t>Exotic fruits</t>
        </is>
      </c>
      <c r="E113" s="11" t="inlineStr">
        <is>
          <t>Fruiting Trees</t>
        </is>
      </c>
      <c r="F113" s="11" t="inlineStr">
        <is>
          <t>Exotic</t>
        </is>
      </c>
      <c r="G113" s="11" t="inlineStr">
        <is>
          <t>Yes</t>
        </is>
      </c>
      <c r="H113" s="11" t="inlineStr">
        <is>
          <t>No</t>
        </is>
      </c>
      <c r="I113" s="10" t="inlineStr">
        <is>
          <t>Seeded</t>
        </is>
      </c>
      <c r="J113" s="11" t="n"/>
      <c r="K113" s="11" t="n"/>
      <c r="L113" s="11" t="n"/>
      <c r="M113" s="11" t="n"/>
      <c r="N113" s="11" t="n"/>
      <c r="O113" s="12" t="n">
        <v>700</v>
      </c>
      <c r="P113" s="12" t="n">
        <v>490</v>
      </c>
      <c r="Q113" s="12" t="n">
        <v>250</v>
      </c>
      <c r="R113" s="11" t="n"/>
      <c r="S113" s="13" t="n"/>
      <c r="T113" s="10" t="n">
        <v>0</v>
      </c>
      <c r="U113" s="11" t="n"/>
      <c r="V113" s="11" t="inlineStr">
        <is>
          <t>Out of Stock</t>
        </is>
      </c>
      <c r="W113" s="11" t="n"/>
      <c r="X113" s="11" t="n"/>
      <c r="Y113" s="10" t="n"/>
      <c r="Z113" s="10" t="n"/>
      <c r="AA113" s="14">
        <f>IF(AND(N(Y113)&gt;0,N(Z113)&gt;0),ROUND(43560/(Y113*Z113),0),"")</f>
        <v/>
      </c>
      <c r="AB113" s="10" t="n"/>
      <c r="AC113" s="10" t="inlineStr">
        <is>
          <t>Full sun</t>
        </is>
      </c>
      <c r="AD113" s="11" t="n"/>
      <c r="AE113" s="10" t="inlineStr">
        <is>
          <t>20°C to 40 °C</t>
        </is>
      </c>
      <c r="AF113" s="10" t="inlineStr">
        <is>
          <t>Small to medium</t>
        </is>
      </c>
      <c r="AG113" s="10" t="inlineStr">
        <is>
          <t>3 years</t>
        </is>
      </c>
      <c r="AH113" s="10" t="inlineStr">
        <is>
          <t>60Kgs to 90Kgs per tree</t>
        </is>
      </c>
      <c r="AI113" s="10" t="inlineStr">
        <is>
          <t>April to May</t>
        </is>
      </c>
      <c r="AJ113" s="10" t="inlineStr">
        <is>
          <t>150gms to 200gms</t>
        </is>
      </c>
      <c r="AK113" s="11" t="n"/>
      <c r="AL113" s="11" t="n"/>
      <c r="AM113" s="11" t="n"/>
      <c r="AN113" s="11" t="n"/>
      <c r="AO113" s="11" t="n"/>
      <c r="AP113" s="11" t="n"/>
      <c r="AQ113" s="11" t="n"/>
      <c r="AR113" s="10" t="inlineStr">
        <is>
          <t>https://hasiruagro.com/wp-content/uploads/2023/08/Peach-F.jpg</t>
        </is>
      </c>
      <c r="AS113" s="11" t="n"/>
      <c r="AT113" s="11" t="n"/>
    </row>
    <row r="114">
      <c r="A114" s="10" t="inlineStr">
        <is>
          <t>HA00113</t>
        </is>
      </c>
      <c r="B114" s="10" t="inlineStr">
        <is>
          <t>Peanut butter</t>
        </is>
      </c>
      <c r="C114" s="11" t="n"/>
      <c r="D114" s="10" t="inlineStr">
        <is>
          <t>Exotic fruits</t>
        </is>
      </c>
      <c r="E114" s="11" t="inlineStr">
        <is>
          <t>Fruiting Trees</t>
        </is>
      </c>
      <c r="F114" s="11" t="inlineStr">
        <is>
          <t>Exotic</t>
        </is>
      </c>
      <c r="G114" s="11" t="inlineStr">
        <is>
          <t>Yes</t>
        </is>
      </c>
      <c r="H114" s="11" t="inlineStr">
        <is>
          <t>No</t>
        </is>
      </c>
      <c r="I114" s="10" t="inlineStr">
        <is>
          <t>Seeded</t>
        </is>
      </c>
      <c r="J114" s="11" t="n"/>
      <c r="K114" s="11" t="n"/>
      <c r="L114" s="11" t="n"/>
      <c r="M114" s="11" t="n"/>
      <c r="N114" s="11" t="n"/>
      <c r="O114" s="12" t="n">
        <v>1000</v>
      </c>
      <c r="P114" s="12" t="n">
        <v>700</v>
      </c>
      <c r="Q114" s="12" t="n">
        <v>350</v>
      </c>
      <c r="R114" s="11" t="n"/>
      <c r="S114" s="13" t="n"/>
      <c r="T114" s="10" t="n">
        <v>0</v>
      </c>
      <c r="U114" s="11" t="n"/>
      <c r="V114" s="11" t="inlineStr">
        <is>
          <t>Out of Stock</t>
        </is>
      </c>
      <c r="W114" s="11" t="n"/>
      <c r="X114" s="11" t="n"/>
      <c r="Y114" s="10" t="n"/>
      <c r="Z114" s="10" t="n"/>
      <c r="AA114" s="14">
        <f>IF(AND(N(Y114)&gt;0,N(Z114)&gt;0),ROUND(43560/(Y114*Z114),0),"")</f>
        <v/>
      </c>
      <c r="AB114" s="10" t="n"/>
      <c r="AC114" s="10" t="inlineStr">
        <is>
          <t>Full sun</t>
        </is>
      </c>
      <c r="AD114" s="11" t="n"/>
      <c r="AE114" s="10" t="inlineStr">
        <is>
          <t>20°C to 40 °C</t>
        </is>
      </c>
      <c r="AF114" s="10" t="inlineStr">
        <is>
          <t>Small to medium tree</t>
        </is>
      </c>
      <c r="AG114" s="10" t="inlineStr">
        <is>
          <t>2 years</t>
        </is>
      </c>
      <c r="AH114" s="10" t="inlineStr">
        <is>
          <t>60Kgs to 90Kgs per tree</t>
        </is>
      </c>
      <c r="AI114" s="10" t="inlineStr">
        <is>
          <t>Throughout the year</t>
        </is>
      </c>
      <c r="AJ114" s="10" t="inlineStr">
        <is>
          <t>50gms to 70gms</t>
        </is>
      </c>
      <c r="AK114" s="11" t="n"/>
      <c r="AL114" s="11" t="n"/>
      <c r="AM114" s="11" t="n"/>
      <c r="AN114" s="11" t="n"/>
      <c r="AO114" s="11" t="n"/>
      <c r="AP114" s="11" t="n"/>
      <c r="AQ114" s="11" t="n"/>
      <c r="AR114" s="10" t="inlineStr">
        <is>
          <t>https://hasiruagro.com/wp-content/uploads/2023/07/PeanutButter-F.jpg</t>
        </is>
      </c>
      <c r="AS114" s="11" t="n"/>
      <c r="AT114" s="11" t="n"/>
    </row>
    <row r="115">
      <c r="A115" s="10" t="inlineStr">
        <is>
          <t>HA00114</t>
        </is>
      </c>
      <c r="B115" s="10" t="inlineStr">
        <is>
          <t>Pear</t>
        </is>
      </c>
      <c r="C115" s="11" t="n"/>
      <c r="D115" s="10" t="inlineStr">
        <is>
          <t>Exotic fruits</t>
        </is>
      </c>
      <c r="E115" s="11" t="inlineStr">
        <is>
          <t>Fruiting Trees</t>
        </is>
      </c>
      <c r="F115" s="11" t="inlineStr">
        <is>
          <t>Exotic</t>
        </is>
      </c>
      <c r="G115" s="11" t="inlineStr">
        <is>
          <t>Yes</t>
        </is>
      </c>
      <c r="H115" s="11" t="inlineStr">
        <is>
          <t>No</t>
        </is>
      </c>
      <c r="I115" s="10" t="inlineStr">
        <is>
          <t>Grafted</t>
        </is>
      </c>
      <c r="J115" s="11" t="n"/>
      <c r="K115" s="11" t="n"/>
      <c r="L115" s="11" t="n"/>
      <c r="M115" s="11" t="n"/>
      <c r="N115" s="11" t="n"/>
      <c r="O115" s="12" t="n">
        <v>800</v>
      </c>
      <c r="P115" s="12" t="n">
        <v>560</v>
      </c>
      <c r="Q115" s="12" t="n">
        <v>300</v>
      </c>
      <c r="R115" s="11" t="n"/>
      <c r="S115" s="13" t="n"/>
      <c r="T115" s="10" t="n">
        <v>0</v>
      </c>
      <c r="U115" s="11" t="n"/>
      <c r="V115" s="11" t="inlineStr">
        <is>
          <t>Out of Stock</t>
        </is>
      </c>
      <c r="W115" s="11" t="n"/>
      <c r="X115" s="11" t="n"/>
      <c r="Y115" s="10" t="n"/>
      <c r="Z115" s="10" t="n"/>
      <c r="AA115" s="14">
        <f>IF(AND(N(Y115)&gt;0,N(Z115)&gt;0),ROUND(43560/(Y115*Z115),0),"")</f>
        <v/>
      </c>
      <c r="AB115" s="10" t="n"/>
      <c r="AC115" s="10" t="inlineStr">
        <is>
          <t>Full sun</t>
        </is>
      </c>
      <c r="AD115" s="11" t="n"/>
      <c r="AE115" s="10" t="inlineStr">
        <is>
          <t>20°C to 40 °C</t>
        </is>
      </c>
      <c r="AF115" s="10" t="inlineStr">
        <is>
          <t>Medium tree</t>
        </is>
      </c>
      <c r="AG115" s="10" t="inlineStr">
        <is>
          <t>2 years</t>
        </is>
      </c>
      <c r="AH115" s="10" t="inlineStr">
        <is>
          <t>100Kgs to 200Kgs per tree</t>
        </is>
      </c>
      <c r="AI115" s="10" t="inlineStr">
        <is>
          <t>July to October</t>
        </is>
      </c>
      <c r="AJ115" s="10" t="inlineStr">
        <is>
          <t>150gms to 200gms</t>
        </is>
      </c>
      <c r="AK115" s="11" t="n"/>
      <c r="AL115" s="11" t="n"/>
      <c r="AM115" s="11" t="n"/>
      <c r="AN115" s="11" t="n"/>
      <c r="AO115" s="11" t="n"/>
      <c r="AP115" s="11" t="n"/>
      <c r="AQ115" s="11" t="n"/>
      <c r="AR115" s="10" t="inlineStr">
        <is>
          <t>https://hasiruagro.com/wp-content/uploads/2023/08/Pear-fruit-image-Hasiruagro.jpg</t>
        </is>
      </c>
      <c r="AS115" s="11" t="n"/>
      <c r="AT115" s="11" t="n"/>
    </row>
    <row r="116">
      <c r="A116" s="10" t="inlineStr">
        <is>
          <t>HA00115</t>
        </is>
      </c>
      <c r="B116" s="10" t="inlineStr">
        <is>
          <t>Pear Babugosha</t>
        </is>
      </c>
      <c r="C116" s="11" t="n"/>
      <c r="D116" s="10" t="inlineStr">
        <is>
          <t>Exotic fruits</t>
        </is>
      </c>
      <c r="E116" s="11" t="inlineStr">
        <is>
          <t>Fruiting Trees</t>
        </is>
      </c>
      <c r="F116" s="11" t="inlineStr">
        <is>
          <t>Exotic</t>
        </is>
      </c>
      <c r="G116" s="11" t="inlineStr">
        <is>
          <t>Yes</t>
        </is>
      </c>
      <c r="H116" s="11" t="inlineStr">
        <is>
          <t>No</t>
        </is>
      </c>
      <c r="I116" s="10" t="inlineStr">
        <is>
          <t>Grafted</t>
        </is>
      </c>
      <c r="J116" s="11" t="n"/>
      <c r="K116" s="11" t="n"/>
      <c r="L116" s="11" t="n"/>
      <c r="M116" s="11" t="n"/>
      <c r="N116" s="11" t="n"/>
      <c r="O116" s="12" t="n">
        <v>600</v>
      </c>
      <c r="P116" s="12" t="n">
        <v>420</v>
      </c>
      <c r="Q116" s="12" t="n">
        <v>200</v>
      </c>
      <c r="R116" s="11" t="n"/>
      <c r="S116" s="13" t="n"/>
      <c r="T116" s="10" t="n">
        <v>0</v>
      </c>
      <c r="U116" s="11" t="n"/>
      <c r="V116" s="11" t="inlineStr">
        <is>
          <t>Out of Stock</t>
        </is>
      </c>
      <c r="W116" s="11" t="n"/>
      <c r="X116" s="11" t="n"/>
      <c r="Y116" s="10" t="n"/>
      <c r="Z116" s="10" t="n"/>
      <c r="AA116" s="14">
        <f>IF(AND(N(Y116)&gt;0,N(Z116)&gt;0),ROUND(43560/(Y116*Z116),0),"")</f>
        <v/>
      </c>
      <c r="AB116" s="10" t="n"/>
      <c r="AC116" s="10" t="inlineStr">
        <is>
          <t>Full sun</t>
        </is>
      </c>
      <c r="AD116" s="11" t="n"/>
      <c r="AE116" s="10" t="inlineStr">
        <is>
          <t>20°C to 40 °C</t>
        </is>
      </c>
      <c r="AF116" s="10" t="inlineStr">
        <is>
          <t>Medium tree</t>
        </is>
      </c>
      <c r="AG116" s="10" t="inlineStr">
        <is>
          <t>2 years</t>
        </is>
      </c>
      <c r="AH116" s="10" t="inlineStr">
        <is>
          <t>100Kgs to 200Kgs per tree</t>
        </is>
      </c>
      <c r="AI116" s="10" t="inlineStr">
        <is>
          <t>July to October</t>
        </is>
      </c>
      <c r="AJ116" s="10" t="inlineStr">
        <is>
          <t>150gms to 200gms</t>
        </is>
      </c>
      <c r="AK116" s="11" t="n"/>
      <c r="AL116" s="11" t="n"/>
      <c r="AM116" s="11" t="n"/>
      <c r="AN116" s="11" t="n"/>
      <c r="AO116" s="11" t="n"/>
      <c r="AP116" s="11" t="n"/>
      <c r="AQ116" s="11" t="n"/>
      <c r="AR116" s="10" t="inlineStr">
        <is>
          <t>https://hasiruagro.com/wp-content/uploads/2023/08/pear-babugosha-fruit-image-Hasiruagro.jpg</t>
        </is>
      </c>
      <c r="AS116" s="11" t="n"/>
      <c r="AT116" s="11" t="n"/>
    </row>
    <row r="117">
      <c r="A117" s="10" t="inlineStr">
        <is>
          <t>HA00116</t>
        </is>
      </c>
      <c r="B117" s="10" t="inlineStr">
        <is>
          <t>Pepper ( Grafted )</t>
        </is>
      </c>
      <c r="C117" s="11" t="n"/>
      <c r="D117" s="10" t="inlineStr">
        <is>
          <t>Spices</t>
        </is>
      </c>
      <c r="E117" s="11" t="inlineStr">
        <is>
          <t>Other Plants</t>
        </is>
      </c>
      <c r="F117" s="11" t="inlineStr">
        <is>
          <t>Spices</t>
        </is>
      </c>
      <c r="G117" s="11" t="inlineStr">
        <is>
          <t>Yes</t>
        </is>
      </c>
      <c r="H117" s="11" t="inlineStr">
        <is>
          <t>No</t>
        </is>
      </c>
      <c r="I117" s="10" t="inlineStr">
        <is>
          <t>Grafted</t>
        </is>
      </c>
      <c r="J117" s="11" t="n"/>
      <c r="K117" s="11" t="n"/>
      <c r="L117" s="11" t="n"/>
      <c r="M117" s="11" t="n"/>
      <c r="N117" s="11" t="n"/>
      <c r="O117" s="12" t="n">
        <v>300</v>
      </c>
      <c r="P117" s="12" t="n">
        <v>210</v>
      </c>
      <c r="Q117" s="12" t="n">
        <v>50</v>
      </c>
      <c r="R117" s="11" t="n"/>
      <c r="S117" s="13" t="n"/>
      <c r="T117" s="10" t="n">
        <v>0</v>
      </c>
      <c r="U117" s="11" t="n"/>
      <c r="V117" s="11" t="inlineStr">
        <is>
          <t>Out of Stock</t>
        </is>
      </c>
      <c r="W117" s="11" t="n"/>
      <c r="X117" s="11" t="n"/>
      <c r="Y117" s="10" t="n"/>
      <c r="Z117" s="10" t="n"/>
      <c r="AA117" s="14">
        <f>IF(AND(N(Y117)&gt;0,N(Z117)&gt;0),ROUND(43560/(Y117*Z117),0),"")</f>
        <v/>
      </c>
      <c r="AB117" s="10" t="inlineStr">
        <is>
          <t>Herb (Small palnt)</t>
        </is>
      </c>
      <c r="AC117" s="10" t="inlineStr">
        <is>
          <t>Partial shade</t>
        </is>
      </c>
      <c r="AD117" s="11" t="n"/>
      <c r="AE117" s="10" t="inlineStr">
        <is>
          <t>20 – 30⁰C</t>
        </is>
      </c>
      <c r="AF117" s="10" t="inlineStr">
        <is>
          <t>Herb (Small palnt)</t>
        </is>
      </c>
      <c r="AG117" s="10" t="inlineStr">
        <is>
          <t>3-4 years</t>
        </is>
      </c>
      <c r="AH117" s="10" t="inlineStr">
        <is>
          <t>2Kgs to 2.5 Kgs per vine</t>
        </is>
      </c>
      <c r="AI117" s="10" t="inlineStr">
        <is>
          <t>November-March</t>
        </is>
      </c>
      <c r="AJ117" s="10" t="inlineStr">
        <is>
          <t>0.5gm to 1gm</t>
        </is>
      </c>
      <c r="AK117" s="11" t="n"/>
      <c r="AL117" s="11" t="n"/>
      <c r="AM117" s="11" t="n"/>
      <c r="AN117" s="11" t="n"/>
      <c r="AO117" s="11" t="n"/>
      <c r="AP117" s="11" t="n"/>
      <c r="AQ117" s="11" t="n"/>
      <c r="AR117" s="10" t="inlineStr">
        <is>
          <t>https://hasiruagro.com/wp-content/uploads/2023/08/Pepper-F.jpg</t>
        </is>
      </c>
      <c r="AS117" s="11" t="n"/>
      <c r="AT117" s="11" t="n"/>
    </row>
    <row r="118">
      <c r="A118" s="10" t="inlineStr">
        <is>
          <t>HA00117</t>
        </is>
      </c>
      <c r="B118" s="10" t="inlineStr">
        <is>
          <t>Pepper ( Rooted )</t>
        </is>
      </c>
      <c r="C118" s="11" t="n"/>
      <c r="D118" s="10" t="inlineStr">
        <is>
          <t>Spices</t>
        </is>
      </c>
      <c r="E118" s="11" t="inlineStr">
        <is>
          <t>Other Plants</t>
        </is>
      </c>
      <c r="F118" s="11" t="inlineStr">
        <is>
          <t>Spices</t>
        </is>
      </c>
      <c r="G118" s="11" t="inlineStr">
        <is>
          <t>Yes</t>
        </is>
      </c>
      <c r="H118" s="11" t="inlineStr">
        <is>
          <t>No</t>
        </is>
      </c>
      <c r="I118" s="10" t="inlineStr">
        <is>
          <t>Rooted</t>
        </is>
      </c>
      <c r="J118" s="11" t="n"/>
      <c r="K118" s="11" t="n"/>
      <c r="L118" s="11" t="n"/>
      <c r="M118" s="11" t="n"/>
      <c r="N118" s="11" t="n"/>
      <c r="O118" s="12" t="n">
        <v>270</v>
      </c>
      <c r="P118" s="12" t="n">
        <v>190</v>
      </c>
      <c r="Q118" s="12" t="n">
        <v>35</v>
      </c>
      <c r="R118" s="11" t="n"/>
      <c r="S118" s="13" t="n"/>
      <c r="T118" s="10" t="n">
        <v>0</v>
      </c>
      <c r="U118" s="11" t="n"/>
      <c r="V118" s="11" t="inlineStr">
        <is>
          <t>Out of Stock</t>
        </is>
      </c>
      <c r="W118" s="11" t="n"/>
      <c r="X118" s="11" t="n"/>
      <c r="Y118" s="10" t="n"/>
      <c r="Z118" s="10" t="n"/>
      <c r="AA118" s="14">
        <f>IF(AND(N(Y118)&gt;0,N(Z118)&gt;0),ROUND(43560/(Y118*Z118),0),"")</f>
        <v/>
      </c>
      <c r="AB118" s="10" t="inlineStr">
        <is>
          <t>Climber (Perennial shrub)</t>
        </is>
      </c>
      <c r="AC118" s="10" t="inlineStr">
        <is>
          <t>Partial shade</t>
        </is>
      </c>
      <c r="AD118" s="11" t="n"/>
      <c r="AE118" s="10" t="inlineStr">
        <is>
          <t>20 – 30⁰C</t>
        </is>
      </c>
      <c r="AF118" s="10" t="inlineStr">
        <is>
          <t>Climber (Perennial shrub)</t>
        </is>
      </c>
      <c r="AG118" s="10" t="inlineStr">
        <is>
          <t>3-4 years</t>
        </is>
      </c>
      <c r="AH118" s="10" t="inlineStr">
        <is>
          <t>2Kgs to 2.5 Kgs per vine</t>
        </is>
      </c>
      <c r="AI118" s="10" t="inlineStr">
        <is>
          <t>November-March</t>
        </is>
      </c>
      <c r="AJ118" s="10" t="inlineStr">
        <is>
          <t>0.5gm to 1gm</t>
        </is>
      </c>
      <c r="AK118" s="11" t="n"/>
      <c r="AL118" s="11" t="n"/>
      <c r="AM118" s="11" t="n"/>
      <c r="AN118" s="11" t="n"/>
      <c r="AO118" s="11" t="n"/>
      <c r="AP118" s="11" t="n"/>
      <c r="AQ118" s="11" t="n"/>
      <c r="AR118" s="10" t="inlineStr">
        <is>
          <t>https://hasiruagro.com/wp-content/uploads/2023/08/Pepper-Rooted-Fruit-image-Hasiruagro.jpg</t>
        </is>
      </c>
      <c r="AS118" s="11" t="n"/>
      <c r="AT118" s="11" t="n"/>
    </row>
    <row r="119">
      <c r="A119" s="10" t="inlineStr">
        <is>
          <t>HA00118</t>
        </is>
      </c>
      <c r="B119" s="10" t="inlineStr">
        <is>
          <t>Persimon</t>
        </is>
      </c>
      <c r="C119" s="11" t="n"/>
      <c r="D119" s="10" t="inlineStr">
        <is>
          <t>Exotic fruits</t>
        </is>
      </c>
      <c r="E119" s="11" t="inlineStr">
        <is>
          <t>Fruiting Trees</t>
        </is>
      </c>
      <c r="F119" s="11" t="inlineStr">
        <is>
          <t>Exotic</t>
        </is>
      </c>
      <c r="G119" s="11" t="inlineStr">
        <is>
          <t>Yes</t>
        </is>
      </c>
      <c r="H119" s="11" t="inlineStr">
        <is>
          <t>No</t>
        </is>
      </c>
      <c r="I119" s="10" t="inlineStr">
        <is>
          <t>Grafted</t>
        </is>
      </c>
      <c r="J119" s="11" t="n"/>
      <c r="K119" s="11" t="n"/>
      <c r="L119" s="11" t="n"/>
      <c r="M119" s="11" t="n"/>
      <c r="N119" s="11" t="n"/>
      <c r="O119" s="12" t="n">
        <v>900</v>
      </c>
      <c r="P119" s="12" t="n">
        <v>630</v>
      </c>
      <c r="Q119" s="12" t="n">
        <v>350</v>
      </c>
      <c r="R119" s="11" t="n"/>
      <c r="S119" s="13" t="n"/>
      <c r="T119" s="10" t="n">
        <v>0</v>
      </c>
      <c r="U119" s="11" t="n"/>
      <c r="V119" s="11" t="inlineStr">
        <is>
          <t>Out of Stock</t>
        </is>
      </c>
      <c r="W119" s="11" t="n"/>
      <c r="X119" s="11" t="n"/>
      <c r="Y119" s="10" t="n"/>
      <c r="Z119" s="10" t="n"/>
      <c r="AA119" s="14">
        <f>IF(AND(N(Y119)&gt;0,N(Z119)&gt;0),ROUND(43560/(Y119*Z119),0),"")</f>
        <v/>
      </c>
      <c r="AB119" s="10" t="n"/>
      <c r="AC119" s="10" t="inlineStr">
        <is>
          <t>Partial sun</t>
        </is>
      </c>
      <c r="AD119" s="11" t="n"/>
      <c r="AE119" s="10" t="inlineStr">
        <is>
          <t>16°C to 35 °C</t>
        </is>
      </c>
      <c r="AF119" s="10" t="inlineStr">
        <is>
          <t>Small to medium tree</t>
        </is>
      </c>
      <c r="AG119" s="10" t="inlineStr">
        <is>
          <t>4 years</t>
        </is>
      </c>
      <c r="AH119" s="10" t="inlineStr">
        <is>
          <t>60Kgs to 90Kgs per tree</t>
        </is>
      </c>
      <c r="AI119" s="10" t="inlineStr">
        <is>
          <t>October to December</t>
        </is>
      </c>
      <c r="AJ119" s="10" t="inlineStr">
        <is>
          <t>150gms to 200gms</t>
        </is>
      </c>
      <c r="AK119" s="11" t="n"/>
      <c r="AL119" s="11" t="n"/>
      <c r="AM119" s="11" t="n"/>
      <c r="AN119" s="11" t="n"/>
      <c r="AO119" s="11" t="n"/>
      <c r="AP119" s="11" t="n"/>
      <c r="AQ119" s="11" t="n"/>
      <c r="AR119" s="10" t="inlineStr">
        <is>
          <t>https://hasiruagro.com/wp-content/uploads/2023/08/Persimon.jpg</t>
        </is>
      </c>
      <c r="AS119" s="11" t="n"/>
      <c r="AT119" s="11" t="n"/>
    </row>
    <row r="120">
      <c r="A120" s="10" t="inlineStr">
        <is>
          <t>HA00119</t>
        </is>
      </c>
      <c r="B120" s="10" t="inlineStr">
        <is>
          <t>Pista</t>
        </is>
      </c>
      <c r="C120" s="11" t="n"/>
      <c r="D120" s="10" t="inlineStr">
        <is>
          <t>Exotic fruits</t>
        </is>
      </c>
      <c r="E120" s="11" t="inlineStr">
        <is>
          <t>Fruiting Trees</t>
        </is>
      </c>
      <c r="F120" s="11" t="inlineStr">
        <is>
          <t>Exotic</t>
        </is>
      </c>
      <c r="G120" s="11" t="inlineStr">
        <is>
          <t>Yes</t>
        </is>
      </c>
      <c r="H120" s="11" t="inlineStr">
        <is>
          <t>No</t>
        </is>
      </c>
      <c r="I120" s="10" t="inlineStr">
        <is>
          <t>Seeded</t>
        </is>
      </c>
      <c r="J120" s="11" t="n"/>
      <c r="K120" s="11" t="n"/>
      <c r="L120" s="11" t="n"/>
      <c r="M120" s="11" t="n"/>
      <c r="N120" s="11" t="n"/>
      <c r="O120" s="12" t="n">
        <v>600</v>
      </c>
      <c r="P120" s="12" t="n">
        <v>420</v>
      </c>
      <c r="Q120" s="12" t="n">
        <v>200</v>
      </c>
      <c r="R120" s="11" t="n"/>
      <c r="S120" s="13" t="n"/>
      <c r="T120" s="10" t="n">
        <v>0</v>
      </c>
      <c r="U120" s="11" t="n"/>
      <c r="V120" s="11" t="inlineStr">
        <is>
          <t>Out of Stock</t>
        </is>
      </c>
      <c r="W120" s="11" t="n"/>
      <c r="X120" s="11" t="n"/>
      <c r="Y120" s="10" t="n"/>
      <c r="Z120" s="10" t="n"/>
      <c r="AA120" s="14">
        <f>IF(AND(N(Y120)&gt;0,N(Z120)&gt;0),ROUND(43560/(Y120*Z120),0),"")</f>
        <v/>
      </c>
      <c r="AB120" s="10" t="n"/>
      <c r="AC120" s="10" t="inlineStr">
        <is>
          <t>Full sun</t>
        </is>
      </c>
      <c r="AD120" s="11" t="n"/>
      <c r="AE120" s="10" t="inlineStr">
        <is>
          <t>20°C to 40 °C</t>
        </is>
      </c>
      <c r="AF120" s="10" t="inlineStr">
        <is>
          <t>Medium tree</t>
        </is>
      </c>
      <c r="AG120" s="10" t="inlineStr">
        <is>
          <t>7 years</t>
        </is>
      </c>
      <c r="AH120" s="10" t="inlineStr">
        <is>
          <t>8Kgs to 10Kgs per tree</t>
        </is>
      </c>
      <c r="AI120" s="10" t="inlineStr">
        <is>
          <t>Round the year</t>
        </is>
      </c>
      <c r="AJ120" s="10" t="inlineStr">
        <is>
          <t>1gm to 2gms</t>
        </is>
      </c>
      <c r="AK120" s="11" t="n"/>
      <c r="AL120" s="11" t="n"/>
      <c r="AM120" s="11" t="n"/>
      <c r="AN120" s="11" t="n"/>
      <c r="AO120" s="11" t="n"/>
      <c r="AP120" s="11" t="n"/>
      <c r="AQ120" s="11" t="n"/>
      <c r="AR120" s="10" t="inlineStr">
        <is>
          <t>https://hasiruagro.com/wp-content/uploads/2023/08/PistaFruit-image-Hasiruagro.jpg</t>
        </is>
      </c>
      <c r="AS120" s="11" t="n"/>
      <c r="AT120" s="11" t="n"/>
    </row>
    <row r="121">
      <c r="A121" s="10" t="inlineStr">
        <is>
          <t>HA00120</t>
        </is>
      </c>
      <c r="B121" s="10" t="inlineStr">
        <is>
          <t>Plum</t>
        </is>
      </c>
      <c r="C121" s="11" t="n"/>
      <c r="D121" s="10" t="inlineStr">
        <is>
          <t>Exotic fruits</t>
        </is>
      </c>
      <c r="E121" s="11" t="inlineStr">
        <is>
          <t>Fruiting Trees</t>
        </is>
      </c>
      <c r="F121" s="11" t="inlineStr">
        <is>
          <t>Exotic</t>
        </is>
      </c>
      <c r="G121" s="11" t="inlineStr">
        <is>
          <t>Yes</t>
        </is>
      </c>
      <c r="H121" s="11" t="inlineStr">
        <is>
          <t>No</t>
        </is>
      </c>
      <c r="I121" s="10" t="inlineStr">
        <is>
          <t>Plum Plant - Juicy and Flavorful Plums</t>
        </is>
      </c>
      <c r="J121" s="11" t="n"/>
      <c r="K121" s="11" t="n"/>
      <c r="L121" s="11" t="n"/>
      <c r="M121" s="11" t="n"/>
      <c r="N121" s="11" t="n"/>
      <c r="O121" s="12" t="n">
        <v>600</v>
      </c>
      <c r="P121" s="12" t="n">
        <v>420</v>
      </c>
      <c r="Q121" s="12" t="n"/>
      <c r="R121" s="11" t="n"/>
      <c r="S121" s="13" t="n"/>
      <c r="T121" s="10" t="n">
        <v>0</v>
      </c>
      <c r="U121" s="11" t="n"/>
      <c r="V121" s="11" t="inlineStr">
        <is>
          <t>Out of Stock</t>
        </is>
      </c>
      <c r="W121" s="11" t="n"/>
      <c r="X121" s="11" t="n"/>
      <c r="Y121" s="10" t="n"/>
      <c r="Z121" s="10" t="n"/>
      <c r="AA121" s="14">
        <f>IF(AND(N(Y121)&gt;0,N(Z121)&gt;0),ROUND(43560/(Y121*Z121),0),"")</f>
        <v/>
      </c>
      <c r="AB121" s="10" t="n"/>
      <c r="AC121" s="10" t="inlineStr">
        <is>
          <t>3 years</t>
        </is>
      </c>
      <c r="AD121" s="11" t="n"/>
      <c r="AE121" s="10" t="inlineStr">
        <is>
          <t>Full sun</t>
        </is>
      </c>
      <c r="AF121" s="10" t="inlineStr">
        <is>
          <t>Shrub</t>
        </is>
      </c>
      <c r="AG121" s="10" t="inlineStr">
        <is>
          <t>50Kgs to 60Kgs</t>
        </is>
      </c>
      <c r="AH121" s="10" t="inlineStr">
        <is>
          <t>Fruiting starts from first week of May. The first sign of fruit maturity is the change of green colour to purple, red or yellow.</t>
        </is>
      </c>
      <c r="AI121" s="10" t="inlineStr">
        <is>
          <t xml:space="preserve"> the skin itself may be particularly tart. It is juicy and can be eaten fresh or used in jam-making or other recipes. Plum juice can be fermented into plum wine</t>
        </is>
      </c>
      <c r="AJ121" s="10" t="inlineStr">
        <is>
          <t>20°C to 40 °C</t>
        </is>
      </c>
      <c r="AK121" s="11" t="n"/>
      <c r="AL121" s="11" t="n"/>
      <c r="AM121" s="11" t="n"/>
      <c r="AN121" s="11" t="n"/>
      <c r="AO121" s="11" t="n"/>
      <c r="AP121" s="11" t="n"/>
      <c r="AQ121" s="11" t="n"/>
      <c r="AR121" s="10" t="inlineStr">
        <is>
          <t>https://hasiruagro.com/wp-content/uploads/2023/08/PlumFruit-image-Hasiruagro.jpg</t>
        </is>
      </c>
      <c r="AS121" s="11" t="n"/>
      <c r="AT121" s="11" t="n"/>
    </row>
    <row r="122">
      <c r="A122" s="10" t="inlineStr">
        <is>
          <t>HA00121</t>
        </is>
      </c>
      <c r="B122" s="10" t="inlineStr">
        <is>
          <t>Prakashchandra Jackfruit</t>
        </is>
      </c>
      <c r="C122" s="11" t="n"/>
      <c r="D122" s="10" t="inlineStr">
        <is>
          <t>Desi Fruits</t>
        </is>
      </c>
      <c r="E122" s="11" t="inlineStr">
        <is>
          <t>Fruiting Trees</t>
        </is>
      </c>
      <c r="F122" s="11" t="inlineStr">
        <is>
          <t>Desi</t>
        </is>
      </c>
      <c r="G122" s="11" t="inlineStr">
        <is>
          <t>Yes</t>
        </is>
      </c>
      <c r="H122" s="11" t="inlineStr">
        <is>
          <t>No</t>
        </is>
      </c>
      <c r="I122" s="10" t="inlineStr">
        <is>
          <t>Grafted</t>
        </is>
      </c>
      <c r="J122" s="11" t="n"/>
      <c r="K122" s="11" t="n"/>
      <c r="L122" s="11" t="n"/>
      <c r="M122" s="11" t="n"/>
      <c r="N122" s="11" t="n"/>
      <c r="O122" s="12" t="n">
        <v>1225</v>
      </c>
      <c r="P122" s="12" t="n">
        <v>490</v>
      </c>
      <c r="Q122" s="12" t="n">
        <v>260</v>
      </c>
      <c r="R122" s="11" t="n"/>
      <c r="S122" s="13" t="n"/>
      <c r="T122" s="10" t="n">
        <v>0</v>
      </c>
      <c r="U122" s="11" t="n"/>
      <c r="V122" s="11" t="inlineStr">
        <is>
          <t>Out of Stock</t>
        </is>
      </c>
      <c r="W122" s="11" t="n"/>
      <c r="X122" s="11" t="n"/>
      <c r="Y122" s="10" t="n">
        <v>20</v>
      </c>
      <c r="Z122" s="10" t="n">
        <v>20</v>
      </c>
      <c r="AA122" s="14">
        <f>IF(AND(N(Y122)&gt;0,N(Z122)&gt;0),ROUND(43560/(Y122*Z122),0),"")</f>
        <v/>
      </c>
      <c r="AB122" s="10" t="inlineStr">
        <is>
          <t>20ft x 20ft</t>
        </is>
      </c>
      <c r="AC122" s="10" t="inlineStr">
        <is>
          <t>Open sun</t>
        </is>
      </c>
      <c r="AD122" s="11" t="n"/>
      <c r="AE122" s="10" t="inlineStr">
        <is>
          <t>20°C to 40 °C</t>
        </is>
      </c>
      <c r="AF122" s="10" t="inlineStr">
        <is>
          <t>Big tree</t>
        </is>
      </c>
      <c r="AG122" s="10" t="inlineStr">
        <is>
          <t>2 years</t>
        </is>
      </c>
      <c r="AH122" s="10" t="inlineStr">
        <is>
          <t>150 to 200 fruits</t>
        </is>
      </c>
      <c r="AI122" s="10" t="inlineStr">
        <is>
          <t>July to December</t>
        </is>
      </c>
      <c r="AJ122" s="10" t="inlineStr">
        <is>
          <t>Medium to Large</t>
        </is>
      </c>
      <c r="AK122" s="11" t="n"/>
      <c r="AL122" s="11" t="n"/>
      <c r="AM122" s="11" t="n"/>
      <c r="AN122" s="11" t="n"/>
      <c r="AO122" s="11" t="n"/>
      <c r="AP122" s="11" t="n"/>
      <c r="AQ122" s="11" t="n"/>
      <c r="AR122" s="10" t="inlineStr">
        <is>
          <t>https://hasiruagro.com/wp-content/uploads/2023/07/Prakashchandra-Jackfruit.webp</t>
        </is>
      </c>
      <c r="AS122" s="11" t="n"/>
      <c r="AT122" s="11" t="n"/>
    </row>
    <row r="123">
      <c r="A123" s="10" t="inlineStr">
        <is>
          <t>HA00122</t>
        </is>
      </c>
      <c r="B123" s="10" t="inlineStr">
        <is>
          <t>Pulasan</t>
        </is>
      </c>
      <c r="C123" s="11" t="n"/>
      <c r="D123" s="10" t="inlineStr">
        <is>
          <t>Exotic fruits</t>
        </is>
      </c>
      <c r="E123" s="11" t="inlineStr">
        <is>
          <t>Fruiting Trees</t>
        </is>
      </c>
      <c r="F123" s="11" t="inlineStr">
        <is>
          <t>Exotic</t>
        </is>
      </c>
      <c r="G123" s="11" t="inlineStr">
        <is>
          <t>Yes</t>
        </is>
      </c>
      <c r="H123" s="11" t="inlineStr">
        <is>
          <t>No</t>
        </is>
      </c>
      <c r="I123" s="10" t="inlineStr">
        <is>
          <t>Grafted</t>
        </is>
      </c>
      <c r="J123" s="11" t="n"/>
      <c r="K123" s="11" t="n"/>
      <c r="L123" s="11" t="n"/>
      <c r="M123" s="11" t="n"/>
      <c r="N123" s="11" t="n"/>
      <c r="O123" s="12" t="n">
        <v>1280</v>
      </c>
      <c r="P123" s="12" t="n">
        <v>895</v>
      </c>
      <c r="Q123" s="12" t="n">
        <v>540</v>
      </c>
      <c r="R123" s="11" t="n"/>
      <c r="S123" s="13" t="n"/>
      <c r="T123" s="10" t="n">
        <v>0</v>
      </c>
      <c r="U123" s="11" t="n"/>
      <c r="V123" s="11" t="inlineStr">
        <is>
          <t>Out of Stock</t>
        </is>
      </c>
      <c r="W123" s="11" t="n"/>
      <c r="X123" s="11" t="n"/>
      <c r="Y123" s="10" t="n"/>
      <c r="Z123" s="10" t="n"/>
      <c r="AA123" s="14">
        <f>IF(AND(N(Y123)&gt;0,N(Z123)&gt;0),ROUND(43560/(Y123*Z123),0),"")</f>
        <v/>
      </c>
      <c r="AB123" s="10" t="n"/>
      <c r="AC123" s="10" t="inlineStr">
        <is>
          <t>Full sun</t>
        </is>
      </c>
      <c r="AD123" s="11" t="n"/>
      <c r="AE123" s="10" t="inlineStr">
        <is>
          <t>20°C to 40 °C</t>
        </is>
      </c>
      <c r="AF123" s="10" t="inlineStr">
        <is>
          <t>Medium tree</t>
        </is>
      </c>
      <c r="AG123" s="10" t="inlineStr">
        <is>
          <t>4 years</t>
        </is>
      </c>
      <c r="AH123" s="10" t="inlineStr">
        <is>
          <t>100Kgs to 150Kgs per tree</t>
        </is>
      </c>
      <c r="AI123" s="10" t="inlineStr">
        <is>
          <t>Alternative season</t>
        </is>
      </c>
      <c r="AJ123" s="10" t="inlineStr">
        <is>
          <t>70gms to 90gms</t>
        </is>
      </c>
      <c r="AK123" s="11" t="n"/>
      <c r="AL123" s="11" t="n"/>
      <c r="AM123" s="11" t="n"/>
      <c r="AN123" s="11" t="n"/>
      <c r="AO123" s="11" t="n"/>
      <c r="AP123" s="11" t="n"/>
      <c r="AQ123" s="11" t="n"/>
      <c r="AR123" s="10" t="inlineStr">
        <is>
          <t>https://hasiruagro.com/wp-content/uploads/2023/08/PulasanFruit-image-Hasiruagro.jpg</t>
        </is>
      </c>
      <c r="AS123" s="11" t="n"/>
      <c r="AT123" s="11" t="n"/>
    </row>
    <row r="124">
      <c r="A124" s="10" t="inlineStr">
        <is>
          <t>HA00123</t>
        </is>
      </c>
      <c r="B124" s="10" t="inlineStr">
        <is>
          <t>Pusa Suriya Mango</t>
        </is>
      </c>
      <c r="C124" s="11" t="n"/>
      <c r="D124" s="10" t="inlineStr">
        <is>
          <t>Desi Fruits</t>
        </is>
      </c>
      <c r="E124" s="11" t="inlineStr">
        <is>
          <t>Fruiting Trees</t>
        </is>
      </c>
      <c r="F124" s="11" t="inlineStr">
        <is>
          <t>Desi</t>
        </is>
      </c>
      <c r="G124" s="11" t="inlineStr">
        <is>
          <t>Yes</t>
        </is>
      </c>
      <c r="H124" s="11" t="inlineStr">
        <is>
          <t>No</t>
        </is>
      </c>
      <c r="I124" s="10" t="inlineStr">
        <is>
          <t>Grafted</t>
        </is>
      </c>
      <c r="J124" s="11" t="n"/>
      <c r="K124" s="11" t="n"/>
      <c r="L124" s="11" t="n"/>
      <c r="M124" s="11" t="n"/>
      <c r="N124" s="11" t="n"/>
      <c r="O124" s="12" t="n">
        <v>700</v>
      </c>
      <c r="P124" s="12" t="n">
        <v>490</v>
      </c>
      <c r="Q124" s="12" t="n">
        <v>250</v>
      </c>
      <c r="R124" s="11" t="n"/>
      <c r="S124" s="13" t="n"/>
      <c r="T124" s="10" t="n">
        <v>0</v>
      </c>
      <c r="U124" s="11" t="n"/>
      <c r="V124" s="11" t="inlineStr">
        <is>
          <t>Out of Stock</t>
        </is>
      </c>
      <c r="W124" s="11" t="n"/>
      <c r="X124" s="11" t="n"/>
      <c r="Y124" s="10" t="n">
        <v>18</v>
      </c>
      <c r="Z124" s="10" t="n">
        <v>18</v>
      </c>
      <c r="AA124" s="14">
        <f>IF(AND(N(Y124)&gt;0,N(Z124)&gt;0),ROUND(43560/(Y124*Z124),0),"")</f>
        <v/>
      </c>
      <c r="AB124" s="10" t="inlineStr">
        <is>
          <t>18ft x 18ft</t>
        </is>
      </c>
      <c r="AC124" s="10" t="inlineStr">
        <is>
          <t>Open sun</t>
        </is>
      </c>
      <c r="AD124" s="11" t="n"/>
      <c r="AE124" s="10" t="inlineStr">
        <is>
          <t>20°C to 40 °C</t>
        </is>
      </c>
      <c r="AF124" s="10" t="inlineStr">
        <is>
          <t>Medium sized tree</t>
        </is>
      </c>
      <c r="AG124" s="10" t="inlineStr">
        <is>
          <t>2 years</t>
        </is>
      </c>
      <c r="AH124" s="10" t="inlineStr">
        <is>
          <t>300 to 500 fruits</t>
        </is>
      </c>
      <c r="AI124" s="10" t="inlineStr">
        <is>
          <t>April to August</t>
        </is>
      </c>
      <c r="AJ124" s="10" t="inlineStr">
        <is>
          <t>200gm to 250gm</t>
        </is>
      </c>
      <c r="AK124" s="11" t="n"/>
      <c r="AL124" s="11" t="n"/>
      <c r="AM124" s="11" t="n"/>
      <c r="AN124" s="11" t="n"/>
      <c r="AO124" s="11" t="n"/>
      <c r="AP124" s="11" t="n"/>
      <c r="AQ124" s="11" t="n"/>
      <c r="AR124" s="10" t="inlineStr">
        <is>
          <t>https://hasiruagro.com/wp-content/uploads/2023/08/PusaSurya-Mango-F.jpg</t>
        </is>
      </c>
      <c r="AS124" s="11" t="n"/>
      <c r="AT124" s="11" t="n"/>
    </row>
    <row r="125">
      <c r="A125" s="10" t="inlineStr">
        <is>
          <t>HA00124</t>
        </is>
      </c>
      <c r="B125" s="10" t="inlineStr">
        <is>
          <t>Rambai</t>
        </is>
      </c>
      <c r="C125" s="11" t="n"/>
      <c r="D125" s="10" t="inlineStr">
        <is>
          <t>Exotic fruits</t>
        </is>
      </c>
      <c r="E125" s="11" t="inlineStr">
        <is>
          <t>Fruiting Trees</t>
        </is>
      </c>
      <c r="F125" s="11" t="inlineStr">
        <is>
          <t>Exotic</t>
        </is>
      </c>
      <c r="G125" s="11" t="inlineStr">
        <is>
          <t>Yes</t>
        </is>
      </c>
      <c r="H125" s="11" t="inlineStr">
        <is>
          <t>No</t>
        </is>
      </c>
      <c r="I125" s="10" t="inlineStr">
        <is>
          <t>Grafted</t>
        </is>
      </c>
      <c r="J125" s="11" t="n"/>
      <c r="K125" s="11" t="n"/>
      <c r="L125" s="11" t="n"/>
      <c r="M125" s="11" t="n"/>
      <c r="N125" s="11" t="n"/>
      <c r="O125" s="12" t="n">
        <v>1400</v>
      </c>
      <c r="P125" s="12" t="n">
        <v>980</v>
      </c>
      <c r="Q125" s="12" t="n">
        <v>600</v>
      </c>
      <c r="R125" s="11" t="n"/>
      <c r="S125" s="13" t="n"/>
      <c r="T125" s="10" t="n">
        <v>0</v>
      </c>
      <c r="U125" s="11" t="n"/>
      <c r="V125" s="11" t="inlineStr">
        <is>
          <t>Out of Stock</t>
        </is>
      </c>
      <c r="W125" s="11" t="n"/>
      <c r="X125" s="11" t="n"/>
      <c r="Y125" s="10" t="n"/>
      <c r="Z125" s="10" t="n"/>
      <c r="AA125" s="14">
        <f>IF(AND(N(Y125)&gt;0,N(Z125)&gt;0),ROUND(43560/(Y125*Z125),0),"")</f>
        <v/>
      </c>
      <c r="AB125" s="10" t="n"/>
      <c r="AC125" s="10" t="inlineStr">
        <is>
          <t>Partial shade</t>
        </is>
      </c>
      <c r="AD125" s="11" t="n"/>
      <c r="AE125" s="10" t="inlineStr">
        <is>
          <t>20°C to 40 °C</t>
        </is>
      </c>
      <c r="AF125" s="10" t="inlineStr">
        <is>
          <t>Medium tree</t>
        </is>
      </c>
      <c r="AG125" s="10" t="inlineStr">
        <is>
          <t>3 years</t>
        </is>
      </c>
      <c r="AH125" s="10" t="inlineStr">
        <is>
          <t>100Kgs to 150Kgs per tree</t>
        </is>
      </c>
      <c r="AI125" s="10" t="inlineStr">
        <is>
          <t>November to February</t>
        </is>
      </c>
      <c r="AJ125" s="10" t="inlineStr">
        <is>
          <t>50gms to 70gms</t>
        </is>
      </c>
      <c r="AK125" s="11" t="n"/>
      <c r="AL125" s="11" t="n"/>
      <c r="AM125" s="11" t="n"/>
      <c r="AN125" s="11" t="n"/>
      <c r="AO125" s="11" t="n"/>
      <c r="AP125" s="11" t="n"/>
      <c r="AQ125" s="11" t="n"/>
      <c r="AR125" s="10" t="inlineStr">
        <is>
          <t>https://hasiruagro.com/wp-content/uploads/2023/08/Rambai.jpg</t>
        </is>
      </c>
      <c r="AS125" s="11" t="n"/>
      <c r="AT125" s="11" t="n"/>
    </row>
    <row r="126">
      <c r="A126" s="10" t="inlineStr">
        <is>
          <t>HA00125</t>
        </is>
      </c>
      <c r="B126" s="10" t="inlineStr">
        <is>
          <t>Rambutan E-35</t>
        </is>
      </c>
      <c r="C126" s="11" t="n"/>
      <c r="D126" s="10" t="inlineStr">
        <is>
          <t>Exotic fruits</t>
        </is>
      </c>
      <c r="E126" s="11" t="inlineStr">
        <is>
          <t>Fruiting Trees</t>
        </is>
      </c>
      <c r="F126" s="11" t="inlineStr">
        <is>
          <t>Exotic</t>
        </is>
      </c>
      <c r="G126" s="11" t="inlineStr">
        <is>
          <t>Yes</t>
        </is>
      </c>
      <c r="H126" s="11" t="inlineStr">
        <is>
          <t>No</t>
        </is>
      </c>
      <c r="I126" s="10" t="inlineStr">
        <is>
          <t>Grafted</t>
        </is>
      </c>
      <c r="J126" s="11" t="n"/>
      <c r="K126" s="11" t="n"/>
      <c r="L126" s="11" t="n"/>
      <c r="M126" s="11" t="n"/>
      <c r="N126" s="11" t="n"/>
      <c r="O126" s="12" t="n">
        <v>1100</v>
      </c>
      <c r="P126" s="12" t="n">
        <v>770</v>
      </c>
      <c r="Q126" s="12" t="n">
        <v>450</v>
      </c>
      <c r="R126" s="11" t="n"/>
      <c r="S126" s="13" t="n"/>
      <c r="T126" s="10" t="n">
        <v>0</v>
      </c>
      <c r="U126" s="11" t="n"/>
      <c r="V126" s="11" t="inlineStr">
        <is>
          <t>Out of Stock</t>
        </is>
      </c>
      <c r="W126" s="11" t="n"/>
      <c r="X126" s="11" t="n"/>
      <c r="Y126" s="10" t="n">
        <v>20</v>
      </c>
      <c r="Z126" s="10" t="n">
        <v>20</v>
      </c>
      <c r="AA126" s="14">
        <f>IF(AND(N(Y126)&gt;0,N(Z126)&gt;0),ROUND(43560/(Y126*Z126),0),"")</f>
        <v/>
      </c>
      <c r="AB126" s="10" t="inlineStr">
        <is>
          <t>20ft x 20ft</t>
        </is>
      </c>
      <c r="AC126" s="10" t="inlineStr">
        <is>
          <t>Full sun</t>
        </is>
      </c>
      <c r="AD126" s="11" t="n"/>
      <c r="AE126" s="10" t="inlineStr">
        <is>
          <t>22°C to 30°C</t>
        </is>
      </c>
      <c r="AF126" s="10" t="inlineStr">
        <is>
          <t>Medium to large tree (50ft to 80ft tall)</t>
        </is>
      </c>
      <c r="AG126" s="10" t="inlineStr">
        <is>
          <t>3 years from planting</t>
        </is>
      </c>
      <c r="AH126" s="10" t="inlineStr">
        <is>
          <t>50Kg to 55Kg</t>
        </is>
      </c>
      <c r="AI126" s="10" t="inlineStr">
        <is>
          <t>July to September</t>
        </is>
      </c>
      <c r="AJ126" s="10" t="inlineStr">
        <is>
          <t>40gm to 60gm</t>
        </is>
      </c>
      <c r="AK126" s="11" t="n"/>
      <c r="AL126" s="11" t="n"/>
      <c r="AM126" s="11" t="n"/>
      <c r="AN126" s="11" t="n"/>
      <c r="AO126" s="11" t="n"/>
      <c r="AP126" s="11" t="n"/>
      <c r="AQ126" s="11" t="n"/>
      <c r="AR126" s="10" t="inlineStr">
        <is>
          <t>https://hasiruagro.com/wp-content/uploads/2023/08/Rambutan-E-35-fruit-image-Hasiruagro.jpg</t>
        </is>
      </c>
      <c r="AS126" s="11" t="n"/>
      <c r="AT126" s="11" t="n"/>
    </row>
    <row r="127">
      <c r="A127" s="10" t="inlineStr">
        <is>
          <t>HA00126</t>
        </is>
      </c>
      <c r="B127" s="10" t="inlineStr">
        <is>
          <t>Rambutan KG-10</t>
        </is>
      </c>
      <c r="C127" s="11" t="n"/>
      <c r="D127" s="10" t="inlineStr">
        <is>
          <t>Exotic fruits</t>
        </is>
      </c>
      <c r="E127" s="11" t="inlineStr">
        <is>
          <t>Fruiting Trees</t>
        </is>
      </c>
      <c r="F127" s="11" t="inlineStr">
        <is>
          <t>Exotic</t>
        </is>
      </c>
      <c r="G127" s="11" t="inlineStr">
        <is>
          <t>Yes</t>
        </is>
      </c>
      <c r="H127" s="11" t="inlineStr">
        <is>
          <t>No</t>
        </is>
      </c>
      <c r="I127" s="10" t="inlineStr">
        <is>
          <t>Grafted</t>
        </is>
      </c>
      <c r="J127" s="11" t="n"/>
      <c r="K127" s="11" t="n"/>
      <c r="L127" s="11" t="n"/>
      <c r="M127" s="11" t="n"/>
      <c r="N127" s="11" t="n"/>
      <c r="O127" s="12" t="n">
        <v>1500</v>
      </c>
      <c r="P127" s="12" t="n">
        <v>1050</v>
      </c>
      <c r="Q127" s="12" t="n">
        <v>650</v>
      </c>
      <c r="R127" s="11" t="n"/>
      <c r="S127" s="13" t="n"/>
      <c r="T127" s="10" t="n">
        <v>0</v>
      </c>
      <c r="U127" s="11" t="n"/>
      <c r="V127" s="11" t="inlineStr">
        <is>
          <t>Out of Stock</t>
        </is>
      </c>
      <c r="W127" s="11" t="n"/>
      <c r="X127" s="11" t="n"/>
      <c r="Y127" s="10" t="n">
        <v>20</v>
      </c>
      <c r="Z127" s="10" t="n">
        <v>20</v>
      </c>
      <c r="AA127" s="14">
        <f>IF(AND(N(Y127)&gt;0,N(Z127)&gt;0),ROUND(43560/(Y127*Z127),0),"")</f>
        <v/>
      </c>
      <c r="AB127" s="10" t="inlineStr">
        <is>
          <t>20ft x 20ft</t>
        </is>
      </c>
      <c r="AC127" s="10" t="inlineStr">
        <is>
          <t>Full sun</t>
        </is>
      </c>
      <c r="AD127" s="11" t="n"/>
      <c r="AE127" s="10" t="inlineStr">
        <is>
          <t>22°C to 30°C</t>
        </is>
      </c>
      <c r="AF127" s="10" t="inlineStr">
        <is>
          <t>Medium to large tree (50ft to 80ft tall)</t>
        </is>
      </c>
      <c r="AG127" s="10" t="inlineStr">
        <is>
          <t>3 years from planting</t>
        </is>
      </c>
      <c r="AH127" s="10" t="inlineStr">
        <is>
          <t>50Kg to 55Kg</t>
        </is>
      </c>
      <c r="AI127" s="10" t="inlineStr">
        <is>
          <t>July to September</t>
        </is>
      </c>
      <c r="AJ127" s="10" t="inlineStr">
        <is>
          <t>40gm to 60gm</t>
        </is>
      </c>
      <c r="AK127" s="11" t="n"/>
      <c r="AL127" s="11" t="n"/>
      <c r="AM127" s="11" t="n"/>
      <c r="AN127" s="11" t="n"/>
      <c r="AO127" s="11" t="n"/>
      <c r="AP127" s="11" t="n"/>
      <c r="AQ127" s="11" t="n"/>
      <c r="AR127" s="10" t="inlineStr">
        <is>
          <t>https://hasiruagro.com/wp-content/uploads/2023/08/Rambutan-KG-10-fruit-image-Hasiruagro.jpg</t>
        </is>
      </c>
      <c r="AS127" s="11" t="n"/>
      <c r="AT127" s="11" t="n"/>
    </row>
    <row r="128">
      <c r="A128" s="10" t="inlineStr">
        <is>
          <t>HA00127</t>
        </is>
      </c>
      <c r="B128" s="10" t="inlineStr">
        <is>
          <t>Rambutan N-18 (3ft)</t>
        </is>
      </c>
      <c r="C128" s="11" t="n"/>
      <c r="D128" s="10" t="inlineStr">
        <is>
          <t>Exotic fruits</t>
        </is>
      </c>
      <c r="E128" s="11" t="inlineStr">
        <is>
          <t>Fruiting Trees</t>
        </is>
      </c>
      <c r="F128" s="11" t="inlineStr">
        <is>
          <t>Exotic</t>
        </is>
      </c>
      <c r="G128" s="11" t="inlineStr">
        <is>
          <t>Yes</t>
        </is>
      </c>
      <c r="H128" s="11" t="inlineStr">
        <is>
          <t>No</t>
        </is>
      </c>
      <c r="I128" s="10" t="inlineStr">
        <is>
          <t>Grafted</t>
        </is>
      </c>
      <c r="J128" s="11" t="n"/>
      <c r="K128" s="11" t="n"/>
      <c r="L128" s="11" t="n"/>
      <c r="M128" s="11" t="n"/>
      <c r="N128" s="11" t="n"/>
      <c r="O128" s="12" t="n">
        <v>1100</v>
      </c>
      <c r="P128" s="12" t="n">
        <v>770</v>
      </c>
      <c r="Q128" s="12" t="n">
        <v>450</v>
      </c>
      <c r="R128" s="11" t="n"/>
      <c r="S128" s="13" t="n"/>
      <c r="T128" s="10" t="n">
        <v>0</v>
      </c>
      <c r="U128" s="11" t="n"/>
      <c r="V128" s="11" t="inlineStr">
        <is>
          <t>Out of Stock</t>
        </is>
      </c>
      <c r="W128" s="11" t="n"/>
      <c r="X128" s="11" t="n"/>
      <c r="Y128" s="10" t="n">
        <v>20</v>
      </c>
      <c r="Z128" s="10" t="n">
        <v>20</v>
      </c>
      <c r="AA128" s="14">
        <f>IF(AND(N(Y128)&gt;0,N(Z128)&gt;0),ROUND(43560/(Y128*Z128),0),"")</f>
        <v/>
      </c>
      <c r="AB128" s="10" t="inlineStr">
        <is>
          <t>20ft x 20ft</t>
        </is>
      </c>
      <c r="AC128" s="10" t="inlineStr">
        <is>
          <t>Full sun</t>
        </is>
      </c>
      <c r="AD128" s="11" t="n"/>
      <c r="AE128" s="10" t="inlineStr">
        <is>
          <t>22°C to 30°C</t>
        </is>
      </c>
      <c r="AF128" s="10" t="inlineStr">
        <is>
          <t>Medium to large tree (50ft to 80ft tall)</t>
        </is>
      </c>
      <c r="AG128" s="10" t="inlineStr">
        <is>
          <t>3 years from planting</t>
        </is>
      </c>
      <c r="AH128" s="10" t="inlineStr">
        <is>
          <t>50Kg to 55Kg</t>
        </is>
      </c>
      <c r="AI128" s="10" t="inlineStr">
        <is>
          <t>July to September</t>
        </is>
      </c>
      <c r="AJ128" s="10" t="inlineStr">
        <is>
          <t>40gm to 60gm</t>
        </is>
      </c>
      <c r="AK128" s="11" t="n"/>
      <c r="AL128" s="11" t="n"/>
      <c r="AM128" s="11" t="n"/>
      <c r="AN128" s="11" t="n"/>
      <c r="AO128" s="11" t="n"/>
      <c r="AP128" s="11" t="n"/>
      <c r="AQ128" s="11" t="n"/>
      <c r="AR128" s="10" t="inlineStr">
        <is>
          <t>https://hasiruagro.com/wp-content/uploads/2023/08/RambutanN-18-F.jpg</t>
        </is>
      </c>
      <c r="AS128" s="11" t="n"/>
      <c r="AT128" s="11" t="n"/>
    </row>
    <row r="129">
      <c r="A129" s="10" t="inlineStr">
        <is>
          <t>HA00128</t>
        </is>
      </c>
      <c r="B129" s="10" t="inlineStr">
        <is>
          <t>Rambutan N-18 (8ft)</t>
        </is>
      </c>
      <c r="C129" s="11" t="n"/>
      <c r="D129" s="10" t="inlineStr">
        <is>
          <t>Exotic fruits</t>
        </is>
      </c>
      <c r="E129" s="11" t="inlineStr">
        <is>
          <t>Fruiting Trees</t>
        </is>
      </c>
      <c r="F129" s="11" t="inlineStr">
        <is>
          <t>Exotic</t>
        </is>
      </c>
      <c r="G129" s="11" t="inlineStr">
        <is>
          <t>Yes</t>
        </is>
      </c>
      <c r="H129" s="11" t="inlineStr">
        <is>
          <t>No</t>
        </is>
      </c>
      <c r="I129" s="10" t="inlineStr">
        <is>
          <t>Grafted</t>
        </is>
      </c>
      <c r="J129" s="11" t="n"/>
      <c r="K129" s="11" t="n"/>
      <c r="L129" s="11" t="n"/>
      <c r="M129" s="11" t="n"/>
      <c r="N129" s="11" t="n"/>
      <c r="O129" s="12" t="n">
        <v>5200</v>
      </c>
      <c r="P129" s="12" t="n">
        <v>3640</v>
      </c>
      <c r="Q129" s="12" t="n">
        <v>2500</v>
      </c>
      <c r="R129" s="11" t="n"/>
      <c r="S129" s="13" t="n"/>
      <c r="T129" s="10" t="n">
        <v>0</v>
      </c>
      <c r="U129" s="11" t="n"/>
      <c r="V129" s="11" t="inlineStr">
        <is>
          <t>Out of Stock</t>
        </is>
      </c>
      <c r="W129" s="11" t="n"/>
      <c r="X129" s="11" t="n"/>
      <c r="Y129" s="10" t="n">
        <v>20</v>
      </c>
      <c r="Z129" s="10" t="n">
        <v>20</v>
      </c>
      <c r="AA129" s="14">
        <f>IF(AND(N(Y129)&gt;0,N(Z129)&gt;0),ROUND(43560/(Y129*Z129),0),"")</f>
        <v/>
      </c>
      <c r="AB129" s="10" t="inlineStr">
        <is>
          <t>20ft x 20ft</t>
        </is>
      </c>
      <c r="AC129" s="10" t="inlineStr">
        <is>
          <t>Full sun</t>
        </is>
      </c>
      <c r="AD129" s="11" t="n"/>
      <c r="AE129" s="10" t="inlineStr">
        <is>
          <t>22°C to 30°C</t>
        </is>
      </c>
      <c r="AF129" s="10" t="inlineStr">
        <is>
          <t>Medium to large tree (50ft to 80ft tall)</t>
        </is>
      </c>
      <c r="AG129" s="10" t="inlineStr">
        <is>
          <t>3 years from planting</t>
        </is>
      </c>
      <c r="AH129" s="10" t="inlineStr">
        <is>
          <t>50Kg to 55Kg</t>
        </is>
      </c>
      <c r="AI129" s="10" t="inlineStr">
        <is>
          <t>July to September</t>
        </is>
      </c>
      <c r="AJ129" s="10" t="inlineStr">
        <is>
          <t>40gm to 60gm</t>
        </is>
      </c>
      <c r="AK129" s="11" t="n"/>
      <c r="AL129" s="11" t="n"/>
      <c r="AM129" s="11" t="n"/>
      <c r="AN129" s="11" t="n"/>
      <c r="AO129" s="11" t="n"/>
      <c r="AP129" s="11" t="n"/>
      <c r="AQ129" s="11" t="n"/>
      <c r="AR129" s="10" t="inlineStr">
        <is>
          <t>https://hasiruagro.com/wp-content/uploads/2023/08/RambutanN-18-F.jpg</t>
        </is>
      </c>
      <c r="AS129" s="11" t="n"/>
      <c r="AT129" s="11" t="n"/>
    </row>
    <row r="130">
      <c r="A130" s="10" t="inlineStr">
        <is>
          <t>HA00129</t>
        </is>
      </c>
      <c r="B130" s="10" t="inlineStr">
        <is>
          <t>Rambutan Rongrien</t>
        </is>
      </c>
      <c r="C130" s="11" t="n"/>
      <c r="D130" s="10" t="inlineStr">
        <is>
          <t>Exotic fruits</t>
        </is>
      </c>
      <c r="E130" s="11" t="inlineStr">
        <is>
          <t>Fruiting Trees</t>
        </is>
      </c>
      <c r="F130" s="11" t="inlineStr">
        <is>
          <t>Exotic</t>
        </is>
      </c>
      <c r="G130" s="11" t="inlineStr">
        <is>
          <t>Yes</t>
        </is>
      </c>
      <c r="H130" s="11" t="inlineStr">
        <is>
          <t>No</t>
        </is>
      </c>
      <c r="I130" s="10" t="inlineStr">
        <is>
          <t>Grafted</t>
        </is>
      </c>
      <c r="J130" s="11" t="n"/>
      <c r="K130" s="11" t="n"/>
      <c r="L130" s="11" t="n"/>
      <c r="M130" s="11" t="n"/>
      <c r="N130" s="11" t="n"/>
      <c r="O130" s="12" t="n">
        <v>1100</v>
      </c>
      <c r="P130" s="12" t="n">
        <v>770</v>
      </c>
      <c r="Q130" s="12" t="n">
        <v>450</v>
      </c>
      <c r="R130" s="11" t="n"/>
      <c r="S130" s="13" t="n"/>
      <c r="T130" s="10" t="n">
        <v>0</v>
      </c>
      <c r="U130" s="11" t="n"/>
      <c r="V130" s="11" t="inlineStr">
        <is>
          <t>Out of Stock</t>
        </is>
      </c>
      <c r="W130" s="11" t="n"/>
      <c r="X130" s="11" t="n"/>
      <c r="Y130" s="10" t="n">
        <v>20</v>
      </c>
      <c r="Z130" s="10" t="n">
        <v>20</v>
      </c>
      <c r="AA130" s="14">
        <f>IF(AND(N(Y130)&gt;0,N(Z130)&gt;0),ROUND(43560/(Y130*Z130),0),"")</f>
        <v/>
      </c>
      <c r="AB130" s="10" t="inlineStr">
        <is>
          <t>20ft x 20ft</t>
        </is>
      </c>
      <c r="AC130" s="10" t="inlineStr">
        <is>
          <t>Full sun</t>
        </is>
      </c>
      <c r="AD130" s="11" t="n"/>
      <c r="AE130" s="10" t="inlineStr">
        <is>
          <t>22°C to 30°C</t>
        </is>
      </c>
      <c r="AF130" s="10" t="inlineStr">
        <is>
          <t>Medium to large tree (50ft to 80ft tall)</t>
        </is>
      </c>
      <c r="AG130" s="10" t="inlineStr">
        <is>
          <t>3 years from planting</t>
        </is>
      </c>
      <c r="AH130" s="10" t="inlineStr">
        <is>
          <t>50Kg to 55Kg</t>
        </is>
      </c>
      <c r="AI130" s="10" t="inlineStr">
        <is>
          <t>July to September</t>
        </is>
      </c>
      <c r="AJ130" s="10" t="inlineStr">
        <is>
          <t>40gm to 60gm</t>
        </is>
      </c>
      <c r="AK130" s="11" t="n"/>
      <c r="AL130" s="11" t="n"/>
      <c r="AM130" s="11" t="n"/>
      <c r="AN130" s="11" t="n"/>
      <c r="AO130" s="11" t="n"/>
      <c r="AP130" s="11" t="n"/>
      <c r="AQ130" s="11" t="n"/>
      <c r="AR130" s="10" t="inlineStr">
        <is>
          <t>https://hasiruagro.com/wp-content/uploads/2023/08/Rambutan-Rongrien-F.jpg</t>
        </is>
      </c>
      <c r="AS130" s="11" t="n"/>
      <c r="AT130" s="11" t="n"/>
    </row>
    <row r="131">
      <c r="A131" s="10" t="inlineStr">
        <is>
          <t>HA00130</t>
        </is>
      </c>
      <c r="B131" s="10" t="inlineStr">
        <is>
          <t>Rambutan Schoolboy</t>
        </is>
      </c>
      <c r="C131" s="11" t="n"/>
      <c r="D131" s="10" t="inlineStr">
        <is>
          <t>Exotic fruits</t>
        </is>
      </c>
      <c r="E131" s="11" t="inlineStr">
        <is>
          <t>Fruiting Trees</t>
        </is>
      </c>
      <c r="F131" s="11" t="inlineStr">
        <is>
          <t>Exotic</t>
        </is>
      </c>
      <c r="G131" s="11" t="inlineStr">
        <is>
          <t>Yes</t>
        </is>
      </c>
      <c r="H131" s="11" t="inlineStr">
        <is>
          <t>No</t>
        </is>
      </c>
      <c r="I131" s="10" t="inlineStr">
        <is>
          <t>Grafted</t>
        </is>
      </c>
      <c r="J131" s="11" t="n"/>
      <c r="K131" s="11" t="n"/>
      <c r="L131" s="11" t="n"/>
      <c r="M131" s="11" t="n"/>
      <c r="N131" s="11" t="n"/>
      <c r="O131" s="12" t="n">
        <v>1100</v>
      </c>
      <c r="P131" s="12" t="n">
        <v>770</v>
      </c>
      <c r="Q131" s="12" t="n">
        <v>450</v>
      </c>
      <c r="R131" s="11" t="n"/>
      <c r="S131" s="13" t="n"/>
      <c r="T131" s="10" t="n">
        <v>0</v>
      </c>
      <c r="U131" s="11" t="n"/>
      <c r="V131" s="11" t="inlineStr">
        <is>
          <t>Out of Stock</t>
        </is>
      </c>
      <c r="W131" s="11" t="n"/>
      <c r="X131" s="11" t="n"/>
      <c r="Y131" s="10" t="n">
        <v>20</v>
      </c>
      <c r="Z131" s="10" t="n">
        <v>20</v>
      </c>
      <c r="AA131" s="14">
        <f>IF(AND(N(Y131)&gt;0,N(Z131)&gt;0),ROUND(43560/(Y131*Z131),0),"")</f>
        <v/>
      </c>
      <c r="AB131" s="10" t="inlineStr">
        <is>
          <t>20ft x 20ft</t>
        </is>
      </c>
      <c r="AC131" s="10" t="inlineStr">
        <is>
          <t>Full sun</t>
        </is>
      </c>
      <c r="AD131" s="11" t="n"/>
      <c r="AE131" s="10" t="inlineStr">
        <is>
          <t>22°C to 30°C</t>
        </is>
      </c>
      <c r="AF131" s="10" t="inlineStr">
        <is>
          <t>Medium to large tree (50ft to 80ft tall)</t>
        </is>
      </c>
      <c r="AG131" s="10" t="inlineStr">
        <is>
          <t>3 years from planting</t>
        </is>
      </c>
      <c r="AH131" s="10" t="inlineStr">
        <is>
          <t>50Kg to 55Kg</t>
        </is>
      </c>
      <c r="AI131" s="10" t="inlineStr">
        <is>
          <t>July to September</t>
        </is>
      </c>
      <c r="AJ131" s="10" t="inlineStr">
        <is>
          <t>40gm to 60gm</t>
        </is>
      </c>
      <c r="AK131" s="11" t="n"/>
      <c r="AL131" s="11" t="n"/>
      <c r="AM131" s="11" t="n"/>
      <c r="AN131" s="11" t="n"/>
      <c r="AO131" s="11" t="n"/>
      <c r="AP131" s="11" t="n"/>
      <c r="AQ131" s="11" t="n"/>
      <c r="AR131" s="10" t="inlineStr">
        <is>
          <t>https://hasiruagro.com/wp-content/uploads/2023/08/RambutanSchoolboy-F.jpg</t>
        </is>
      </c>
      <c r="AS131" s="11" t="n"/>
      <c r="AT131" s="11" t="n"/>
    </row>
    <row r="132">
      <c r="A132" s="10" t="inlineStr">
        <is>
          <t>HA00131</t>
        </is>
      </c>
      <c r="B132" s="10" t="inlineStr">
        <is>
          <t>Raspuri Mango</t>
        </is>
      </c>
      <c r="C132" s="11" t="n"/>
      <c r="D132" s="10" t="inlineStr">
        <is>
          <t>Desi Fruits</t>
        </is>
      </c>
      <c r="E132" s="11" t="inlineStr">
        <is>
          <t>Fruiting Trees</t>
        </is>
      </c>
      <c r="F132" s="11" t="inlineStr">
        <is>
          <t>Desi</t>
        </is>
      </c>
      <c r="G132" s="11" t="inlineStr">
        <is>
          <t>Yes</t>
        </is>
      </c>
      <c r="H132" s="11" t="inlineStr">
        <is>
          <t>No</t>
        </is>
      </c>
      <c r="I132" s="10" t="inlineStr">
        <is>
          <t>Grafted</t>
        </is>
      </c>
      <c r="J132" s="11" t="n"/>
      <c r="K132" s="11" t="n"/>
      <c r="L132" s="11" t="n"/>
      <c r="M132" s="11" t="n"/>
      <c r="N132" s="11" t="n"/>
      <c r="O132" s="12" t="n">
        <v>700</v>
      </c>
      <c r="P132" s="12" t="n">
        <v>490</v>
      </c>
      <c r="Q132" s="12" t="n">
        <v>250</v>
      </c>
      <c r="R132" s="11" t="n"/>
      <c r="S132" s="13" t="n"/>
      <c r="T132" s="10" t="n">
        <v>138</v>
      </c>
      <c r="U132" s="11" t="n"/>
      <c r="V132" s="11" t="inlineStr">
        <is>
          <t>Available</t>
        </is>
      </c>
      <c r="W132" s="11" t="n"/>
      <c r="X132" s="11" t="n"/>
      <c r="Y132" s="10" t="n">
        <v>18</v>
      </c>
      <c r="Z132" s="10" t="n">
        <v>18</v>
      </c>
      <c r="AA132" s="14">
        <f>IF(AND(N(Y132)&gt;0,N(Z132)&gt;0),ROUND(43560/(Y132*Z132),0),"")</f>
        <v/>
      </c>
      <c r="AB132" s="10" t="inlineStr">
        <is>
          <t>18ft x 18ft</t>
        </is>
      </c>
      <c r="AC132" s="10" t="inlineStr">
        <is>
          <t>Open sun</t>
        </is>
      </c>
      <c r="AD132" s="11" t="n"/>
      <c r="AE132" s="10" t="inlineStr">
        <is>
          <t>20°C to 40 °C</t>
        </is>
      </c>
      <c r="AF132" s="10" t="inlineStr">
        <is>
          <t>Medium sized tree</t>
        </is>
      </c>
      <c r="AG132" s="10" t="inlineStr">
        <is>
          <t>2 years</t>
        </is>
      </c>
      <c r="AH132" s="10" t="inlineStr">
        <is>
          <t>300 to 500 fruits</t>
        </is>
      </c>
      <c r="AI132" s="10" t="inlineStr">
        <is>
          <t>April to August</t>
        </is>
      </c>
      <c r="AJ132" s="10" t="inlineStr">
        <is>
          <t>100gm to 150gm</t>
        </is>
      </c>
      <c r="AK132" s="11" t="n"/>
      <c r="AL132" s="11" t="n"/>
      <c r="AM132" s="11" t="n"/>
      <c r="AN132" s="11" t="n"/>
      <c r="AO132" s="11" t="n"/>
      <c r="AP132" s="11" t="n"/>
      <c r="AQ132" s="11" t="n"/>
      <c r="AR132" s="10" t="inlineStr">
        <is>
          <t>https://hasiruagro.com/wp-content/uploads/2023/08/Raspuri-Mango-F.jpg</t>
        </is>
      </c>
      <c r="AS132" s="11" t="n"/>
      <c r="AT132" s="11" t="n"/>
    </row>
    <row r="133">
      <c r="A133" s="10" t="inlineStr">
        <is>
          <t>HA00132</t>
        </is>
      </c>
      <c r="B133" s="10" t="inlineStr">
        <is>
          <t>Red Amla</t>
        </is>
      </c>
      <c r="C133" s="11" t="n"/>
      <c r="D133" s="10" t="inlineStr">
        <is>
          <t>Exotic fruits</t>
        </is>
      </c>
      <c r="E133" s="11" t="inlineStr">
        <is>
          <t>Fruiting Trees</t>
        </is>
      </c>
      <c r="F133" s="11" t="inlineStr">
        <is>
          <t>Exotic</t>
        </is>
      </c>
      <c r="G133" s="11" t="inlineStr">
        <is>
          <t>Yes</t>
        </is>
      </c>
      <c r="H133" s="11" t="inlineStr">
        <is>
          <t>No</t>
        </is>
      </c>
      <c r="I133" s="10" t="inlineStr">
        <is>
          <t>Grafted</t>
        </is>
      </c>
      <c r="J133" s="11" t="n"/>
      <c r="K133" s="11" t="n"/>
      <c r="L133" s="11" t="n"/>
      <c r="M133" s="11" t="n"/>
      <c r="N133" s="11" t="n"/>
      <c r="O133" s="12" t="n">
        <v>1000</v>
      </c>
      <c r="P133" s="12" t="n">
        <v>700</v>
      </c>
      <c r="Q133" s="12" t="n">
        <v>350</v>
      </c>
      <c r="R133" s="11" t="n"/>
      <c r="S133" s="13" t="n"/>
      <c r="T133" s="10" t="n">
        <v>0</v>
      </c>
      <c r="U133" s="11" t="n"/>
      <c r="V133" s="11" t="inlineStr">
        <is>
          <t>Out of Stock</t>
        </is>
      </c>
      <c r="W133" s="11" t="n"/>
      <c r="X133" s="11" t="n"/>
      <c r="Y133" s="10" t="n">
        <v>18</v>
      </c>
      <c r="Z133" s="10" t="n">
        <v>18</v>
      </c>
      <c r="AA133" s="14">
        <f>IF(AND(N(Y133)&gt;0,N(Z133)&gt;0),ROUND(43560/(Y133*Z133),0),"")</f>
        <v/>
      </c>
      <c r="AB133" s="10" t="inlineStr">
        <is>
          <t>18ftx18ft</t>
        </is>
      </c>
      <c r="AC133" s="10" t="inlineStr">
        <is>
          <t>Full sun</t>
        </is>
      </c>
      <c r="AD133" s="11" t="n"/>
      <c r="AE133" s="10" t="inlineStr">
        <is>
          <t>20°C to 35°C</t>
        </is>
      </c>
      <c r="AF133" s="10" t="inlineStr">
        <is>
          <t>Medium sized tree</t>
        </is>
      </c>
      <c r="AG133" s="10" t="inlineStr">
        <is>
          <t>5 years</t>
        </is>
      </c>
      <c r="AH133" s="10" t="inlineStr">
        <is>
          <t>50Kgs to 70Kgs</t>
        </is>
      </c>
      <c r="AI133" s="10" t="inlineStr">
        <is>
          <t>February to September</t>
        </is>
      </c>
      <c r="AJ133" s="10" t="inlineStr">
        <is>
          <t>5g to 15gm</t>
        </is>
      </c>
      <c r="AK133" s="11" t="n"/>
      <c r="AL133" s="11" t="n"/>
      <c r="AM133" s="11" t="n"/>
      <c r="AN133" s="11" t="n"/>
      <c r="AO133" s="11" t="n"/>
      <c r="AP133" s="11" t="n"/>
      <c r="AQ133" s="11" t="n"/>
      <c r="AR133" s="10" t="inlineStr">
        <is>
          <t>https://hasiruagro.com/wp-content/uploads/2023/08/Red-Amla-Fruit-image-Hasiruagro.jpg</t>
        </is>
      </c>
      <c r="AS133" s="11" t="n"/>
      <c r="AT133" s="11" t="n"/>
    </row>
    <row r="134">
      <c r="A134" s="10" t="inlineStr">
        <is>
          <t>HA00133</t>
        </is>
      </c>
      <c r="B134" s="10" t="inlineStr">
        <is>
          <t>Red Chakota/Pomelo</t>
        </is>
      </c>
      <c r="C134" s="11" t="n"/>
      <c r="D134" s="10" t="inlineStr">
        <is>
          <t>Desi Fruits</t>
        </is>
      </c>
      <c r="E134" s="11" t="inlineStr">
        <is>
          <t>Fruiting Trees</t>
        </is>
      </c>
      <c r="F134" s="11" t="inlineStr">
        <is>
          <t>Desi</t>
        </is>
      </c>
      <c r="G134" s="11" t="inlineStr">
        <is>
          <t>Yes</t>
        </is>
      </c>
      <c r="H134" s="11" t="inlineStr">
        <is>
          <t>No</t>
        </is>
      </c>
      <c r="I134" s="10" t="inlineStr">
        <is>
          <t>Grafted</t>
        </is>
      </c>
      <c r="J134" s="11" t="n"/>
      <c r="K134" s="11" t="n"/>
      <c r="L134" s="11" t="n"/>
      <c r="M134" s="11" t="n"/>
      <c r="N134" s="11" t="n"/>
      <c r="O134" s="12" t="n">
        <v>1000</v>
      </c>
      <c r="P134" s="12" t="n">
        <v>700</v>
      </c>
      <c r="Q134" s="12" t="n">
        <v>350</v>
      </c>
      <c r="R134" s="11" t="n"/>
      <c r="S134" s="13" t="n"/>
      <c r="T134" s="10" t="n">
        <v>0</v>
      </c>
      <c r="U134" s="11" t="n"/>
      <c r="V134" s="11" t="inlineStr">
        <is>
          <t>Out of Stock</t>
        </is>
      </c>
      <c r="W134" s="11" t="n"/>
      <c r="X134" s="11" t="n"/>
      <c r="Y134" s="10" t="n">
        <v>18</v>
      </c>
      <c r="Z134" s="10" t="n">
        <v>18</v>
      </c>
      <c r="AA134" s="14">
        <f>IF(AND(N(Y134)&gt;0,N(Z134)&gt;0),ROUND(43560/(Y134*Z134),0),"")</f>
        <v/>
      </c>
      <c r="AB134" s="10" t="inlineStr">
        <is>
          <t>18ft x 18ft</t>
        </is>
      </c>
      <c r="AC134" s="10" t="inlineStr">
        <is>
          <t>Open sun</t>
        </is>
      </c>
      <c r="AD134" s="11" t="n"/>
      <c r="AE134" s="10" t="inlineStr">
        <is>
          <t>15°C to 35 °C</t>
        </is>
      </c>
      <c r="AF134" s="10" t="inlineStr">
        <is>
          <t>Medium sized tree</t>
        </is>
      </c>
      <c r="AG134" s="10" t="inlineStr">
        <is>
          <t>2 years</t>
        </is>
      </c>
      <c r="AH134" s="10" t="inlineStr">
        <is>
          <t>300 to 500 fruits</t>
        </is>
      </c>
      <c r="AI134" s="10" t="inlineStr">
        <is>
          <t>September to February</t>
        </is>
      </c>
      <c r="AJ134" s="10" t="inlineStr">
        <is>
          <t>0.5Kg to 2Kgs</t>
        </is>
      </c>
      <c r="AK134" s="11" t="n"/>
      <c r="AL134" s="11" t="n"/>
      <c r="AM134" s="11" t="n"/>
      <c r="AN134" s="11" t="n"/>
      <c r="AO134" s="11" t="n"/>
      <c r="AP134" s="11" t="n"/>
      <c r="AQ134" s="11" t="n"/>
      <c r="AR134" s="10" t="inlineStr">
        <is>
          <t>https://hasiruagro.com/wp-content/uploads/2023/08/Pomelo-F.jpg</t>
        </is>
      </c>
      <c r="AS134" s="11" t="n"/>
      <c r="AT134" s="11" t="n"/>
    </row>
    <row r="135">
      <c r="A135" s="10" t="inlineStr">
        <is>
          <t>HA00134</t>
        </is>
      </c>
      <c r="B135" s="10" t="inlineStr">
        <is>
          <t>Red king mango</t>
        </is>
      </c>
      <c r="C135" s="11" t="n"/>
      <c r="D135" s="10" t="inlineStr">
        <is>
          <t>Exotic fruits</t>
        </is>
      </c>
      <c r="E135" s="11" t="inlineStr">
        <is>
          <t>Fruiting Trees</t>
        </is>
      </c>
      <c r="F135" s="11" t="inlineStr">
        <is>
          <t>Exotic</t>
        </is>
      </c>
      <c r="G135" s="11" t="inlineStr">
        <is>
          <t>Yes</t>
        </is>
      </c>
      <c r="H135" s="11" t="inlineStr">
        <is>
          <t>No</t>
        </is>
      </c>
      <c r="I135" s="10" t="inlineStr">
        <is>
          <t>Grafted</t>
        </is>
      </c>
      <c r="J135" s="11" t="n"/>
      <c r="K135" s="11" t="n"/>
      <c r="L135" s="11" t="n"/>
      <c r="M135" s="11" t="n"/>
      <c r="N135" s="11" t="n"/>
      <c r="O135" s="12" t="n">
        <v>800</v>
      </c>
      <c r="P135" s="12" t="n">
        <v>560</v>
      </c>
      <c r="Q135" s="12" t="n">
        <v>350</v>
      </c>
      <c r="R135" s="11" t="n"/>
      <c r="S135" s="13" t="n"/>
      <c r="T135" s="10" t="n">
        <v>0</v>
      </c>
      <c r="U135" s="11" t="n"/>
      <c r="V135" s="11" t="inlineStr">
        <is>
          <t>Out of Stock</t>
        </is>
      </c>
      <c r="W135" s="11" t="n"/>
      <c r="X135" s="11" t="n"/>
      <c r="Y135" s="10" t="n"/>
      <c r="Z135" s="10" t="n"/>
      <c r="AA135" s="14">
        <f>IF(AND(N(Y135)&gt;0,N(Z135)&gt;0),ROUND(43560/(Y135*Z135),0),"")</f>
        <v/>
      </c>
      <c r="AB135" s="10" t="n"/>
      <c r="AC135" s="10" t="inlineStr">
        <is>
          <t>Full sun</t>
        </is>
      </c>
      <c r="AD135" s="11" t="n"/>
      <c r="AE135" s="10" t="inlineStr">
        <is>
          <t>20°C to 35°C</t>
        </is>
      </c>
      <c r="AF135" s="10" t="inlineStr">
        <is>
          <t>Small to medium sized tree</t>
        </is>
      </c>
      <c r="AG135" s="10" t="inlineStr">
        <is>
          <t>3 years</t>
        </is>
      </c>
      <c r="AH135" s="10" t="inlineStr">
        <is>
          <t>100Kgs to 150Kgs per tree</t>
        </is>
      </c>
      <c r="AI135" s="10" t="inlineStr">
        <is>
          <t>March to June</t>
        </is>
      </c>
      <c r="AJ135" s="10" t="inlineStr">
        <is>
          <t>400gm to 500gm</t>
        </is>
      </c>
      <c r="AK135" s="11" t="n"/>
      <c r="AL135" s="11" t="n"/>
      <c r="AM135" s="11" t="n"/>
      <c r="AN135" s="11" t="n"/>
      <c r="AO135" s="11" t="n"/>
      <c r="AP135" s="11" t="n"/>
      <c r="AQ135" s="11" t="n"/>
      <c r="AR135" s="10" t="inlineStr">
        <is>
          <t>https://hasiruagro.com/wp-content/uploads/2023/08/Red-Mango-F.jpg</t>
        </is>
      </c>
      <c r="AS135" s="11" t="n"/>
      <c r="AT135" s="11" t="n"/>
    </row>
    <row r="136">
      <c r="A136" s="10" t="inlineStr">
        <is>
          <t>HA00136</t>
        </is>
      </c>
      <c r="B136" s="10" t="inlineStr">
        <is>
          <t>Red rudrakshi Jackfruit</t>
        </is>
      </c>
      <c r="C136" s="11" t="n"/>
      <c r="D136" s="10" t="inlineStr">
        <is>
          <t>Desi Fruits</t>
        </is>
      </c>
      <c r="E136" s="11" t="inlineStr">
        <is>
          <t>Fruiting Trees</t>
        </is>
      </c>
      <c r="F136" s="11" t="inlineStr">
        <is>
          <t>Desi</t>
        </is>
      </c>
      <c r="G136" s="11" t="inlineStr">
        <is>
          <t>Yes</t>
        </is>
      </c>
      <c r="H136" s="11" t="inlineStr">
        <is>
          <t>No</t>
        </is>
      </c>
      <c r="I136" s="10" t="inlineStr">
        <is>
          <t>Grafted</t>
        </is>
      </c>
      <c r="J136" s="11" t="n"/>
      <c r="K136" s="11" t="n"/>
      <c r="L136" s="11" t="n"/>
      <c r="M136" s="11" t="n"/>
      <c r="N136" s="11" t="n"/>
      <c r="O136" s="12" t="n">
        <v>1225</v>
      </c>
      <c r="P136" s="12" t="n">
        <v>490</v>
      </c>
      <c r="Q136" s="12" t="n">
        <v>260</v>
      </c>
      <c r="R136" s="11" t="n"/>
      <c r="S136" s="13" t="n"/>
      <c r="T136" s="10" t="n">
        <v>0</v>
      </c>
      <c r="U136" s="11" t="n"/>
      <c r="V136" s="11" t="inlineStr">
        <is>
          <t>Out of Stock</t>
        </is>
      </c>
      <c r="W136" s="11" t="n"/>
      <c r="X136" s="11" t="n"/>
      <c r="Y136" s="10" t="n">
        <v>20</v>
      </c>
      <c r="Z136" s="10" t="n">
        <v>20</v>
      </c>
      <c r="AA136" s="14">
        <f>IF(AND(N(Y136)&gt;0,N(Z136)&gt;0),ROUND(43560/(Y136*Z136),0),"")</f>
        <v/>
      </c>
      <c r="AB136" s="10" t="inlineStr">
        <is>
          <t>20ft x 20ft</t>
        </is>
      </c>
      <c r="AC136" s="10" t="inlineStr">
        <is>
          <t>Open sun</t>
        </is>
      </c>
      <c r="AD136" s="11" t="n"/>
      <c r="AE136" s="10" t="inlineStr">
        <is>
          <t>20°C to 40 °C</t>
        </is>
      </c>
      <c r="AF136" s="10" t="inlineStr">
        <is>
          <t>Big tree</t>
        </is>
      </c>
      <c r="AG136" s="10" t="inlineStr">
        <is>
          <t>2 years</t>
        </is>
      </c>
      <c r="AH136" s="10" t="inlineStr">
        <is>
          <t>80Kg to 100Kg</t>
        </is>
      </c>
      <c r="AI136" s="10" t="inlineStr">
        <is>
          <t>July to December</t>
        </is>
      </c>
      <c r="AJ136" s="10" t="inlineStr">
        <is>
          <t>Medium to Large</t>
        </is>
      </c>
      <c r="AK136" s="11" t="n"/>
      <c r="AL136" s="11" t="n"/>
      <c r="AM136" s="11" t="n"/>
      <c r="AN136" s="11" t="n"/>
      <c r="AO136" s="11" t="n"/>
      <c r="AP136" s="11" t="n"/>
      <c r="AQ136" s="11" t="n"/>
      <c r="AR136" s="10" t="inlineStr">
        <is>
          <t>https://hasiruagro.com/wp-content/uploads/2023/07/Red-rudrakshi-Jackfruit-Fruit-im.webp</t>
        </is>
      </c>
      <c r="AS136" s="11" t="n"/>
      <c r="AT136" s="11" t="n"/>
    </row>
    <row r="137">
      <c r="A137" s="10" t="inlineStr">
        <is>
          <t>HA00137</t>
        </is>
      </c>
      <c r="B137" s="10" t="inlineStr">
        <is>
          <t>Red Sandalwood</t>
        </is>
      </c>
      <c r="C137" s="11" t="n"/>
      <c r="D137" s="10" t="inlineStr">
        <is>
          <t>Forestry</t>
        </is>
      </c>
      <c r="E137" s="11" t="inlineStr">
        <is>
          <t>Timber Trees</t>
        </is>
      </c>
      <c r="F137" s="11" t="n"/>
      <c r="G137" s="11" t="inlineStr">
        <is>
          <t>Yes</t>
        </is>
      </c>
      <c r="H137" s="11" t="inlineStr">
        <is>
          <t>No</t>
        </is>
      </c>
      <c r="I137" s="10" t="inlineStr">
        <is>
          <t>Seeded</t>
        </is>
      </c>
      <c r="J137" s="11" t="n"/>
      <c r="K137" s="11" t="n"/>
      <c r="L137" s="11" t="n"/>
      <c r="M137" s="11" t="n"/>
      <c r="N137" s="11" t="n"/>
      <c r="O137" s="12" t="n">
        <v>380</v>
      </c>
      <c r="P137" s="12" t="n">
        <v>265</v>
      </c>
      <c r="Q137" s="12" t="n">
        <v>60</v>
      </c>
      <c r="R137" s="11" t="n"/>
      <c r="S137" s="13" t="n"/>
      <c r="T137" s="10" t="n">
        <v>100</v>
      </c>
      <c r="U137" s="11" t="n"/>
      <c r="V137" s="11" t="inlineStr">
        <is>
          <t>Available</t>
        </is>
      </c>
      <c r="W137" s="11" t="n"/>
      <c r="X137" s="11" t="n"/>
      <c r="Y137" s="10" t="n">
        <v>15</v>
      </c>
      <c r="Z137" s="10" t="n">
        <v>15</v>
      </c>
      <c r="AA137" s="14">
        <f>IF(AND(N(Y137)&gt;0,N(Z137)&gt;0),ROUND(43560/(Y137*Z137),0),"")</f>
        <v/>
      </c>
      <c r="AB137" s="10" t="inlineStr">
        <is>
          <t>15ft x 15ft</t>
        </is>
      </c>
      <c r="AC137" s="10" t="inlineStr">
        <is>
          <t>Full sun</t>
        </is>
      </c>
      <c r="AD137" s="11" t="n"/>
      <c r="AE137" s="10" t="inlineStr">
        <is>
          <t>20°C to 40°C</t>
        </is>
      </c>
      <c r="AF137" s="10" t="inlineStr">
        <is>
          <t>20ft to 30ft tall</t>
        </is>
      </c>
      <c r="AG137" s="10" t="inlineStr">
        <is>
          <t>15 years</t>
        </is>
      </c>
      <c r="AH137" s="10" t="inlineStr">
        <is>
          <t>250Kgs to 500Kgs of heartwood</t>
        </is>
      </c>
      <c r="AI137" s="10" t="n"/>
      <c r="AJ137" s="10" t="n"/>
      <c r="AK137" s="11" t="n"/>
      <c r="AL137" s="11" t="n"/>
      <c r="AM137" s="11" t="n"/>
      <c r="AN137" s="11" t="n"/>
      <c r="AO137" s="11" t="n"/>
      <c r="AP137" s="11" t="n"/>
      <c r="AQ137" s="11" t="n"/>
      <c r="AR137" s="10" t="inlineStr">
        <is>
          <t>https://hasiruagro.com/wp-content/uploads/2023/08/Red-Sandal-F.jpg</t>
        </is>
      </c>
      <c r="AS137" s="11" t="n"/>
      <c r="AT137" s="11" t="n"/>
    </row>
    <row r="138">
      <c r="A138" s="10" t="inlineStr">
        <is>
          <t>HA00138</t>
        </is>
      </c>
      <c r="B138" s="10" t="inlineStr">
        <is>
          <t>Rose Water Apple</t>
        </is>
      </c>
      <c r="C138" s="11" t="n"/>
      <c r="D138" s="10" t="inlineStr">
        <is>
          <t>Exotic fruits</t>
        </is>
      </c>
      <c r="E138" s="11" t="inlineStr">
        <is>
          <t>Fruiting Trees</t>
        </is>
      </c>
      <c r="F138" s="11" t="inlineStr">
        <is>
          <t>Exotic</t>
        </is>
      </c>
      <c r="G138" s="11" t="inlineStr">
        <is>
          <t>Yes</t>
        </is>
      </c>
      <c r="H138" s="11" t="inlineStr">
        <is>
          <t>No</t>
        </is>
      </c>
      <c r="I138" s="10" t="inlineStr">
        <is>
          <t>Seeded</t>
        </is>
      </c>
      <c r="J138" s="11" t="n"/>
      <c r="K138" s="11" t="n"/>
      <c r="L138" s="11" t="n"/>
      <c r="M138" s="11" t="n"/>
      <c r="N138" s="11" t="n"/>
      <c r="O138" s="12" t="n">
        <v>520</v>
      </c>
      <c r="P138" s="12" t="n">
        <v>365</v>
      </c>
      <c r="Q138" s="12" t="n">
        <v>150</v>
      </c>
      <c r="R138" s="11" t="n"/>
      <c r="S138" s="13" t="n"/>
      <c r="T138" s="10" t="n">
        <v>0</v>
      </c>
      <c r="U138" s="11" t="n"/>
      <c r="V138" s="11" t="inlineStr">
        <is>
          <t>Out of Stock</t>
        </is>
      </c>
      <c r="W138" s="11" t="n"/>
      <c r="X138" s="11" t="n"/>
      <c r="Y138" s="10" t="n"/>
      <c r="Z138" s="10" t="n"/>
      <c r="AA138" s="14">
        <f>IF(AND(N(Y138)&gt;0,N(Z138)&gt;0),ROUND(43560/(Y138*Z138),0),"")</f>
        <v/>
      </c>
      <c r="AB138" s="10" t="n"/>
      <c r="AC138" s="10" t="inlineStr">
        <is>
          <t>Full sun</t>
        </is>
      </c>
      <c r="AD138" s="11" t="n"/>
      <c r="AE138" s="10" t="inlineStr">
        <is>
          <t>20°C to 40 °C</t>
        </is>
      </c>
      <c r="AF138" s="10" t="inlineStr">
        <is>
          <t>Medium tree</t>
        </is>
      </c>
      <c r="AG138" s="10" t="inlineStr">
        <is>
          <t>3 years</t>
        </is>
      </c>
      <c r="AH138" s="10" t="inlineStr">
        <is>
          <t>50Kgs to 70Kgs per tree</t>
        </is>
      </c>
      <c r="AI138" s="10" t="inlineStr">
        <is>
          <t>August to November</t>
        </is>
      </c>
      <c r="AJ138" s="10" t="inlineStr">
        <is>
          <t>50gms to 70gms</t>
        </is>
      </c>
      <c r="AK138" s="11" t="n"/>
      <c r="AL138" s="11" t="n"/>
      <c r="AM138" s="11" t="n"/>
      <c r="AN138" s="11" t="n"/>
      <c r="AO138" s="11" t="n"/>
      <c r="AP138" s="11" t="n"/>
      <c r="AQ138" s="11" t="n"/>
      <c r="AR138" s="10" t="inlineStr">
        <is>
          <t>https://hasiruagro.com/wp-content/uploads/2023/08/Rose-Water-Apple-fruit-image-hasiruagro.jpg</t>
        </is>
      </c>
      <c r="AS138" s="11" t="n"/>
      <c r="AT138" s="11" t="n"/>
    </row>
    <row r="139">
      <c r="A139" s="10" t="inlineStr">
        <is>
          <t>HA00139</t>
        </is>
      </c>
      <c r="B139" s="10" t="inlineStr">
        <is>
          <t>Rose wood</t>
        </is>
      </c>
      <c r="C139" s="11" t="n"/>
      <c r="D139" s="10" t="inlineStr">
        <is>
          <t>Forestry</t>
        </is>
      </c>
      <c r="E139" s="11" t="inlineStr">
        <is>
          <t>Timber Trees</t>
        </is>
      </c>
      <c r="F139" s="11" t="n"/>
      <c r="G139" s="11" t="inlineStr">
        <is>
          <t>Yes</t>
        </is>
      </c>
      <c r="H139" s="11" t="inlineStr">
        <is>
          <t>No</t>
        </is>
      </c>
      <c r="I139" s="10" t="inlineStr">
        <is>
          <t>Seeded</t>
        </is>
      </c>
      <c r="J139" s="11" t="n"/>
      <c r="K139" s="11" t="n"/>
      <c r="L139" s="11" t="n"/>
      <c r="M139" s="11" t="n"/>
      <c r="N139" s="11" t="n"/>
      <c r="O139" s="12" t="n">
        <v>320</v>
      </c>
      <c r="P139" s="12" t="n">
        <v>225</v>
      </c>
      <c r="Q139" s="12" t="n">
        <v>60</v>
      </c>
      <c r="R139" s="11" t="n"/>
      <c r="S139" s="13" t="n"/>
      <c r="T139" s="10" t="n">
        <v>0</v>
      </c>
      <c r="U139" s="11" t="n"/>
      <c r="V139" s="11" t="inlineStr">
        <is>
          <t>Out of Stock</t>
        </is>
      </c>
      <c r="W139" s="11" t="n"/>
      <c r="X139" s="11" t="n"/>
      <c r="Y139" s="10" t="n">
        <v>15</v>
      </c>
      <c r="Z139" s="10" t="n">
        <v>15</v>
      </c>
      <c r="AA139" s="14">
        <f>IF(AND(N(Y139)&gt;0,N(Z139)&gt;0),ROUND(43560/(Y139*Z139),0),"")</f>
        <v/>
      </c>
      <c r="AB139" s="10" t="inlineStr">
        <is>
          <t>15ft x 15ft</t>
        </is>
      </c>
      <c r="AC139" s="10" t="inlineStr">
        <is>
          <t>Full sun</t>
        </is>
      </c>
      <c r="AD139" s="11" t="n"/>
      <c r="AE139" s="10" t="inlineStr">
        <is>
          <t>20°C to 40°C</t>
        </is>
      </c>
      <c r="AF139" s="10" t="inlineStr">
        <is>
          <t>20ft to 30 ft tall</t>
        </is>
      </c>
      <c r="AG139" s="10" t="inlineStr">
        <is>
          <t>15 years</t>
        </is>
      </c>
      <c r="AH139" s="10" t="inlineStr">
        <is>
          <t>30 to 50 cft of lumber</t>
        </is>
      </c>
      <c r="AI139" s="10" t="n"/>
      <c r="AJ139" s="10" t="n"/>
      <c r="AK139" s="11" t="n"/>
      <c r="AL139" s="11" t="n"/>
      <c r="AM139" s="11" t="n"/>
      <c r="AN139" s="11" t="n"/>
      <c r="AO139" s="11" t="n"/>
      <c r="AP139" s="11" t="n"/>
      <c r="AQ139" s="11" t="n"/>
      <c r="AR139" s="10" t="inlineStr">
        <is>
          <t>https://hasiruagro.com/wp-content/uploads/2023/03/Rosewood-Hasiru-Agro.jpg</t>
        </is>
      </c>
      <c r="AS139" s="11" t="n"/>
      <c r="AT139" s="11" t="n"/>
    </row>
    <row r="140">
      <c r="A140" s="10" t="inlineStr">
        <is>
          <t>HA00140</t>
        </is>
      </c>
      <c r="B140" s="10" t="inlineStr">
        <is>
          <t>Sadananda Jackfruit</t>
        </is>
      </c>
      <c r="C140" s="11" t="n"/>
      <c r="D140" s="10" t="inlineStr">
        <is>
          <t>Desi Fruits</t>
        </is>
      </c>
      <c r="E140" s="11" t="inlineStr">
        <is>
          <t>Fruiting Trees</t>
        </is>
      </c>
      <c r="F140" s="11" t="inlineStr">
        <is>
          <t>Desi</t>
        </is>
      </c>
      <c r="G140" s="11" t="inlineStr">
        <is>
          <t>Yes</t>
        </is>
      </c>
      <c r="H140" s="11" t="inlineStr">
        <is>
          <t>No</t>
        </is>
      </c>
      <c r="I140" s="10" t="inlineStr">
        <is>
          <t>Grafted</t>
        </is>
      </c>
      <c r="J140" s="11" t="n"/>
      <c r="K140" s="11" t="n"/>
      <c r="L140" s="11" t="n"/>
      <c r="M140" s="11" t="n"/>
      <c r="N140" s="11" t="n"/>
      <c r="O140" s="12" t="n">
        <v>1225</v>
      </c>
      <c r="P140" s="12" t="n">
        <v>490</v>
      </c>
      <c r="Q140" s="12" t="n">
        <v>260</v>
      </c>
      <c r="R140" s="11" t="n"/>
      <c r="S140" s="13" t="n"/>
      <c r="T140" s="10" t="n">
        <v>10</v>
      </c>
      <c r="U140" s="11" t="n"/>
      <c r="V140" s="11" t="inlineStr">
        <is>
          <t>Available</t>
        </is>
      </c>
      <c r="W140" s="11" t="n"/>
      <c r="X140" s="11" t="n"/>
      <c r="Y140" s="10" t="n">
        <v>20</v>
      </c>
      <c r="Z140" s="10" t="n">
        <v>20</v>
      </c>
      <c r="AA140" s="14">
        <f>IF(AND(N(Y140)&gt;0,N(Z140)&gt;0),ROUND(43560/(Y140*Z140),0),"")</f>
        <v/>
      </c>
      <c r="AB140" s="10" t="inlineStr">
        <is>
          <t>20ft x 20ft</t>
        </is>
      </c>
      <c r="AC140" s="10" t="inlineStr">
        <is>
          <t>Open sun</t>
        </is>
      </c>
      <c r="AD140" s="11" t="n"/>
      <c r="AE140" s="10" t="inlineStr">
        <is>
          <t>20°C to 40 °C</t>
        </is>
      </c>
      <c r="AF140" s="10" t="inlineStr">
        <is>
          <t>Big tree</t>
        </is>
      </c>
      <c r="AG140" s="10" t="inlineStr">
        <is>
          <t>2 years</t>
        </is>
      </c>
      <c r="AH140" s="10" t="inlineStr">
        <is>
          <t>150 to 200 fruits</t>
        </is>
      </c>
      <c r="AI140" s="10" t="inlineStr">
        <is>
          <t>July to December</t>
        </is>
      </c>
      <c r="AJ140" s="10" t="inlineStr">
        <is>
          <t>Medium to Large</t>
        </is>
      </c>
      <c r="AK140" s="11" t="n"/>
      <c r="AL140" s="11" t="n"/>
      <c r="AM140" s="11" t="n"/>
      <c r="AN140" s="11" t="n"/>
      <c r="AO140" s="11" t="n"/>
      <c r="AP140" s="11" t="n"/>
      <c r="AQ140" s="11" t="n"/>
      <c r="AR140" s="10" t="inlineStr">
        <is>
          <t>https://hasiruagro.com/wp-content/uploads/2023/07/Sadananda-Jackfruit-fruit-image.webp</t>
        </is>
      </c>
      <c r="AS140" s="11" t="n"/>
      <c r="AT140" s="11" t="n"/>
    </row>
    <row r="141">
      <c r="A141" s="10" t="inlineStr">
        <is>
          <t>HA00141</t>
        </is>
      </c>
      <c r="B141" s="10" t="inlineStr">
        <is>
          <t>Santhol</t>
        </is>
      </c>
      <c r="C141" s="11" t="n"/>
      <c r="D141" s="10" t="inlineStr">
        <is>
          <t>Exotic fruits</t>
        </is>
      </c>
      <c r="E141" s="11" t="inlineStr">
        <is>
          <t>Fruiting Trees</t>
        </is>
      </c>
      <c r="F141" s="11" t="inlineStr">
        <is>
          <t>Exotic</t>
        </is>
      </c>
      <c r="G141" s="11" t="inlineStr">
        <is>
          <t>Yes</t>
        </is>
      </c>
      <c r="H141" s="11" t="inlineStr">
        <is>
          <t>No</t>
        </is>
      </c>
      <c r="I141" s="10" t="inlineStr">
        <is>
          <t>Grafted</t>
        </is>
      </c>
      <c r="J141" s="11" t="n"/>
      <c r="K141" s="11" t="n"/>
      <c r="L141" s="11" t="n"/>
      <c r="M141" s="11" t="n"/>
      <c r="N141" s="11" t="n"/>
      <c r="O141" s="12" t="n">
        <v>1100</v>
      </c>
      <c r="P141" s="12" t="n">
        <v>770</v>
      </c>
      <c r="Q141" s="12" t="n">
        <v>450</v>
      </c>
      <c r="R141" s="11" t="n"/>
      <c r="S141" s="13" t="n"/>
      <c r="T141" s="10" t="n">
        <v>0</v>
      </c>
      <c r="U141" s="11" t="n"/>
      <c r="V141" s="11" t="inlineStr">
        <is>
          <t>Out of Stock</t>
        </is>
      </c>
      <c r="W141" s="11" t="n"/>
      <c r="X141" s="11" t="n"/>
      <c r="Y141" s="10" t="n"/>
      <c r="Z141" s="10" t="n"/>
      <c r="AA141" s="14">
        <f>IF(AND(N(Y141)&gt;0,N(Z141)&gt;0),ROUND(43560/(Y141*Z141),0),"")</f>
        <v/>
      </c>
      <c r="AB141" s="10" t="n"/>
      <c r="AC141" s="10" t="inlineStr">
        <is>
          <t>Full shade</t>
        </is>
      </c>
      <c r="AD141" s="11" t="n"/>
      <c r="AE141" s="10" t="inlineStr">
        <is>
          <t>20°C to 40 °C</t>
        </is>
      </c>
      <c r="AF141" s="10" t="inlineStr">
        <is>
          <t>Medium to big tree</t>
        </is>
      </c>
      <c r="AG141" s="10" t="inlineStr">
        <is>
          <t>4 years</t>
        </is>
      </c>
      <c r="AH141" s="10" t="inlineStr">
        <is>
          <t>1500 to 2000 fruits per tree</t>
        </is>
      </c>
      <c r="AI141" s="10" t="inlineStr">
        <is>
          <t>June to October</t>
        </is>
      </c>
      <c r="AJ141" s="10" t="inlineStr">
        <is>
          <t>150gms to 200gms</t>
        </is>
      </c>
      <c r="AK141" s="11" t="n"/>
      <c r="AL141" s="11" t="n"/>
      <c r="AM141" s="11" t="n"/>
      <c r="AN141" s="11" t="n"/>
      <c r="AO141" s="11" t="n"/>
      <c r="AP141" s="11" t="n"/>
      <c r="AQ141" s="11" t="n"/>
      <c r="AR141" s="10" t="inlineStr">
        <is>
          <t>https://hasiruagro.com/wp-content/uploads/2023/08/Santhol-F.jpg</t>
        </is>
      </c>
      <c r="AS141" s="11" t="n"/>
      <c r="AT141" s="11" t="n"/>
    </row>
    <row r="142">
      <c r="A142" s="10" t="inlineStr">
        <is>
          <t>HA00142</t>
        </is>
      </c>
      <c r="B142" s="10" t="inlineStr">
        <is>
          <t>Seedless Jackfruit</t>
        </is>
      </c>
      <c r="C142" s="11" t="n"/>
      <c r="D142" s="10" t="inlineStr">
        <is>
          <t>Desi Fruits</t>
        </is>
      </c>
      <c r="E142" s="11" t="inlineStr">
        <is>
          <t>Fruiting Trees</t>
        </is>
      </c>
      <c r="F142" s="11" t="inlineStr">
        <is>
          <t>Desi</t>
        </is>
      </c>
      <c r="G142" s="11" t="inlineStr">
        <is>
          <t>Yes</t>
        </is>
      </c>
      <c r="H142" s="11" t="inlineStr">
        <is>
          <t>No</t>
        </is>
      </c>
      <c r="I142" s="10" t="inlineStr">
        <is>
          <t>Grafted</t>
        </is>
      </c>
      <c r="J142" s="11" t="n"/>
      <c r="K142" s="11" t="n"/>
      <c r="L142" s="11" t="n"/>
      <c r="M142" s="11" t="n"/>
      <c r="N142" s="11" t="n"/>
      <c r="O142" s="12" t="n">
        <v>1400</v>
      </c>
      <c r="P142" s="12" t="n">
        <v>560</v>
      </c>
      <c r="Q142" s="12" t="n">
        <v>300</v>
      </c>
      <c r="R142" s="11" t="n"/>
      <c r="S142" s="13" t="n"/>
      <c r="T142" s="10" t="n">
        <v>0</v>
      </c>
      <c r="U142" s="11" t="n"/>
      <c r="V142" s="11" t="inlineStr">
        <is>
          <t>Out of Stock</t>
        </is>
      </c>
      <c r="W142" s="11" t="n"/>
      <c r="X142" s="11" t="n"/>
      <c r="Y142" s="10" t="n">
        <v>20</v>
      </c>
      <c r="Z142" s="10" t="n">
        <v>20</v>
      </c>
      <c r="AA142" s="14">
        <f>IF(AND(N(Y142)&gt;0,N(Z142)&gt;0),ROUND(43560/(Y142*Z142),0),"")</f>
        <v/>
      </c>
      <c r="AB142" s="10" t="inlineStr">
        <is>
          <t>20ft x 20ft</t>
        </is>
      </c>
      <c r="AC142" s="10" t="inlineStr">
        <is>
          <t>Open sun</t>
        </is>
      </c>
      <c r="AD142" s="11" t="n"/>
      <c r="AE142" s="10" t="inlineStr">
        <is>
          <t>20°C to 40 °C</t>
        </is>
      </c>
      <c r="AF142" s="10" t="inlineStr">
        <is>
          <t>Big tree</t>
        </is>
      </c>
      <c r="AG142" s="10" t="inlineStr">
        <is>
          <t>2 years</t>
        </is>
      </c>
      <c r="AH142" s="10" t="inlineStr">
        <is>
          <t>150 to 200 fruits</t>
        </is>
      </c>
      <c r="AI142" s="10" t="inlineStr">
        <is>
          <t>July to December</t>
        </is>
      </c>
      <c r="AJ142" s="10" t="inlineStr">
        <is>
          <t>Small</t>
        </is>
      </c>
      <c r="AK142" s="11" t="n"/>
      <c r="AL142" s="11" t="n"/>
      <c r="AM142" s="11" t="n"/>
      <c r="AN142" s="11" t="n"/>
      <c r="AO142" s="11" t="n"/>
      <c r="AP142" s="11" t="n"/>
      <c r="AQ142" s="11" t="n"/>
      <c r="AR142" s="10" t="inlineStr">
        <is>
          <t>https://hasiruagro.com/wp-content/uploads/2023/07/Seedless-Jackfruit-fruit-image-H.webp</t>
        </is>
      </c>
      <c r="AS142" s="11" t="n"/>
      <c r="AT142" s="11" t="n"/>
    </row>
    <row r="143">
      <c r="A143" s="10" t="inlineStr">
        <is>
          <t>HA00143</t>
        </is>
      </c>
      <c r="B143" s="10" t="inlineStr">
        <is>
          <t>Siddu jackfruit</t>
        </is>
      </c>
      <c r="C143" s="11" t="n"/>
      <c r="D143" s="10" t="inlineStr">
        <is>
          <t>Desi Fruits</t>
        </is>
      </c>
      <c r="E143" s="11" t="inlineStr">
        <is>
          <t>Fruiting Trees</t>
        </is>
      </c>
      <c r="F143" s="11" t="inlineStr">
        <is>
          <t>Desi</t>
        </is>
      </c>
      <c r="G143" s="11" t="inlineStr">
        <is>
          <t>Yes</t>
        </is>
      </c>
      <c r="H143" s="11" t="inlineStr">
        <is>
          <t>No</t>
        </is>
      </c>
      <c r="I143" s="10" t="inlineStr">
        <is>
          <t>Grafted</t>
        </is>
      </c>
      <c r="J143" s="11" t="n"/>
      <c r="K143" s="11" t="n"/>
      <c r="L143" s="11" t="n"/>
      <c r="M143" s="11" t="n"/>
      <c r="N143" s="11" t="n"/>
      <c r="O143" s="12" t="n">
        <v>1325</v>
      </c>
      <c r="P143" s="12" t="n">
        <v>530</v>
      </c>
      <c r="Q143" s="12" t="n">
        <v>280</v>
      </c>
      <c r="R143" s="11" t="n"/>
      <c r="S143" s="13" t="n"/>
      <c r="T143" s="10" t="n">
        <v>0</v>
      </c>
      <c r="U143" s="11" t="n"/>
      <c r="V143" s="11" t="inlineStr">
        <is>
          <t>Out of Stock</t>
        </is>
      </c>
      <c r="W143" s="11" t="n"/>
      <c r="X143" s="11" t="n"/>
      <c r="Y143" s="10" t="n">
        <v>20</v>
      </c>
      <c r="Z143" s="10" t="n">
        <v>20</v>
      </c>
      <c r="AA143" s="14">
        <f>IF(AND(N(Y143)&gt;0,N(Z143)&gt;0),ROUND(43560/(Y143*Z143),0),"")</f>
        <v/>
      </c>
      <c r="AB143" s="10" t="inlineStr">
        <is>
          <t>20ft x 20ft</t>
        </is>
      </c>
      <c r="AC143" s="10" t="inlineStr">
        <is>
          <t>Open sun</t>
        </is>
      </c>
      <c r="AD143" s="11" t="n"/>
      <c r="AE143" s="10" t="inlineStr">
        <is>
          <t>20°C to 40 °C</t>
        </is>
      </c>
      <c r="AF143" s="10" t="inlineStr">
        <is>
          <t>Big tree</t>
        </is>
      </c>
      <c r="AG143" s="10" t="inlineStr">
        <is>
          <t>2 years</t>
        </is>
      </c>
      <c r="AH143" s="10" t="inlineStr">
        <is>
          <t>150 to 200 fruits</t>
        </is>
      </c>
      <c r="AI143" s="10" t="inlineStr">
        <is>
          <t>July to December</t>
        </is>
      </c>
      <c r="AJ143" s="10" t="inlineStr">
        <is>
          <t>3-4 kg per fruit</t>
        </is>
      </c>
      <c r="AK143" s="11" t="n"/>
      <c r="AL143" s="11" t="n"/>
      <c r="AM143" s="11" t="n"/>
      <c r="AN143" s="11" t="n"/>
      <c r="AO143" s="11" t="n"/>
      <c r="AP143" s="11" t="n"/>
      <c r="AQ143" s="11" t="n"/>
      <c r="AR143" s="10" t="inlineStr">
        <is>
          <t>https://hasiruagro.com/wp-content/uploads/2023/07/Siddu-jackfruit-fruit-image-Hasi.webp</t>
        </is>
      </c>
      <c r="AS143" s="11" t="n"/>
      <c r="AT143" s="11" t="n"/>
    </row>
    <row r="144">
      <c r="A144" s="10" t="inlineStr">
        <is>
          <t>HA00144</t>
        </is>
      </c>
      <c r="B144" s="10" t="inlineStr">
        <is>
          <t>Simarouba</t>
        </is>
      </c>
      <c r="C144" s="11" t="n"/>
      <c r="D144" s="10" t="inlineStr">
        <is>
          <t>Forestry</t>
        </is>
      </c>
      <c r="E144" s="11" t="inlineStr">
        <is>
          <t>Timber Trees</t>
        </is>
      </c>
      <c r="F144" s="11" t="n"/>
      <c r="G144" s="11" t="inlineStr">
        <is>
          <t>Yes</t>
        </is>
      </c>
      <c r="H144" s="11" t="inlineStr">
        <is>
          <t>No</t>
        </is>
      </c>
      <c r="I144" s="10" t="inlineStr">
        <is>
          <t>Seeded</t>
        </is>
      </c>
      <c r="J144" s="11" t="n"/>
      <c r="K144" s="11" t="n"/>
      <c r="L144" s="11" t="n"/>
      <c r="M144" s="11" t="n"/>
      <c r="N144" s="11" t="n"/>
      <c r="O144" s="12" t="n">
        <v>320</v>
      </c>
      <c r="P144" s="12" t="n">
        <v>225</v>
      </c>
      <c r="Q144" s="12" t="n">
        <v>60</v>
      </c>
      <c r="R144" s="11" t="n"/>
      <c r="S144" s="13" t="n"/>
      <c r="T144" s="10" t="n">
        <v>0</v>
      </c>
      <c r="U144" s="11" t="n"/>
      <c r="V144" s="11" t="inlineStr">
        <is>
          <t>Out of Stock</t>
        </is>
      </c>
      <c r="W144" s="11" t="n"/>
      <c r="X144" s="11" t="n"/>
      <c r="Y144" s="10" t="n">
        <v>20</v>
      </c>
      <c r="Z144" s="10" t="n">
        <v>20</v>
      </c>
      <c r="AA144" s="14">
        <f>IF(AND(N(Y144)&gt;0,N(Z144)&gt;0),ROUND(43560/(Y144*Z144),0),"")</f>
        <v/>
      </c>
      <c r="AB144" s="10" t="inlineStr">
        <is>
          <t>20ft X 20ft</t>
        </is>
      </c>
      <c r="AC144" s="10" t="inlineStr">
        <is>
          <t>Full sun</t>
        </is>
      </c>
      <c r="AD144" s="11" t="n"/>
      <c r="AE144" s="10" t="inlineStr">
        <is>
          <t>20°C to 40°C</t>
        </is>
      </c>
      <c r="AF144" s="10" t="inlineStr">
        <is>
          <t>40ft to 50 ft tall</t>
        </is>
      </c>
      <c r="AG144" s="10" t="inlineStr">
        <is>
          <t>10 years</t>
        </is>
      </c>
      <c r="AH144" s="10" t="n"/>
      <c r="AI144" s="10" t="n"/>
      <c r="AJ144" s="10" t="n"/>
      <c r="AK144" s="11" t="n"/>
      <c r="AL144" s="11" t="n"/>
      <c r="AM144" s="11" t="n"/>
      <c r="AN144" s="11" t="n"/>
      <c r="AO144" s="11" t="n"/>
      <c r="AP144" s="11" t="n"/>
      <c r="AQ144" s="11" t="n"/>
      <c r="AR144" s="10" t="inlineStr">
        <is>
          <t>https://hasiruagro.com/wp-content/uploads/2023/08/SimaroubaFruit-image-Hasiruagro.jpg</t>
        </is>
      </c>
      <c r="AS144" s="11" t="n"/>
      <c r="AT144" s="11" t="n"/>
    </row>
    <row r="145">
      <c r="A145" s="10" t="inlineStr">
        <is>
          <t>HA00145</t>
        </is>
      </c>
      <c r="B145" s="10" t="inlineStr">
        <is>
          <t>Singapore cherry</t>
        </is>
      </c>
      <c r="C145" s="11" t="n"/>
      <c r="D145" s="10" t="inlineStr">
        <is>
          <t>Forestry</t>
        </is>
      </c>
      <c r="E145" s="11" t="inlineStr">
        <is>
          <t>Timber Trees</t>
        </is>
      </c>
      <c r="F145" s="11" t="n"/>
      <c r="G145" s="11" t="inlineStr">
        <is>
          <t>Yes</t>
        </is>
      </c>
      <c r="H145" s="11" t="inlineStr">
        <is>
          <t>No</t>
        </is>
      </c>
      <c r="I145" s="10" t="inlineStr">
        <is>
          <t>Seeded</t>
        </is>
      </c>
      <c r="J145" s="11" t="n"/>
      <c r="K145" s="11" t="n"/>
      <c r="L145" s="11" t="n"/>
      <c r="M145" s="11" t="n"/>
      <c r="N145" s="11" t="n"/>
      <c r="O145" s="12" t="n">
        <v>320</v>
      </c>
      <c r="P145" s="12" t="n">
        <v>225</v>
      </c>
      <c r="Q145" s="12" t="n">
        <v>60</v>
      </c>
      <c r="R145" s="11" t="n"/>
      <c r="S145" s="13" t="n"/>
      <c r="T145" s="10" t="n">
        <v>0</v>
      </c>
      <c r="U145" s="11" t="n"/>
      <c r="V145" s="11" t="inlineStr">
        <is>
          <t>Out of Stock</t>
        </is>
      </c>
      <c r="W145" s="11" t="n"/>
      <c r="X145" s="11" t="n"/>
      <c r="Y145" s="10" t="n">
        <v>20</v>
      </c>
      <c r="Z145" s="10" t="n">
        <v>20</v>
      </c>
      <c r="AA145" s="14">
        <f>IF(AND(N(Y145)&gt;0,N(Z145)&gt;0),ROUND(43560/(Y145*Z145),0),"")</f>
        <v/>
      </c>
      <c r="AB145" s="10" t="inlineStr">
        <is>
          <t>20ft X 20ft</t>
        </is>
      </c>
      <c r="AC145" s="10" t="inlineStr">
        <is>
          <t>Full sun</t>
        </is>
      </c>
      <c r="AD145" s="11" t="n"/>
      <c r="AE145" s="10" t="inlineStr">
        <is>
          <t>20°C to 40°C</t>
        </is>
      </c>
      <c r="AF145" s="10" t="inlineStr">
        <is>
          <t>20ft to 30 ft tall</t>
        </is>
      </c>
      <c r="AG145" s="10" t="inlineStr">
        <is>
          <t>5 to 6 years</t>
        </is>
      </c>
      <c r="AH145" s="10" t="n"/>
      <c r="AI145" s="10" t="n"/>
      <c r="AJ145" s="10" t="n"/>
      <c r="AK145" s="11" t="n"/>
      <c r="AL145" s="11" t="n"/>
      <c r="AM145" s="11" t="n"/>
      <c r="AN145" s="11" t="n"/>
      <c r="AO145" s="11" t="n"/>
      <c r="AP145" s="11" t="n"/>
      <c r="AQ145" s="11" t="n"/>
      <c r="AR145" s="10" t="inlineStr">
        <is>
          <t>https://hasiruagro.com/wp-content/uploads/2023/08/Singapore-cherry.jpg</t>
        </is>
      </c>
      <c r="AS145" s="11" t="n"/>
      <c r="AT145" s="11" t="n"/>
    </row>
    <row r="146">
      <c r="A146" s="10" t="inlineStr">
        <is>
          <t>HA00146</t>
        </is>
      </c>
      <c r="B146" s="10" t="inlineStr">
        <is>
          <t>Spicy guava</t>
        </is>
      </c>
      <c r="C146" s="11" t="n"/>
      <c r="D146" s="10" t="inlineStr">
        <is>
          <t>Exotic fruits</t>
        </is>
      </c>
      <c r="E146" s="11" t="inlineStr">
        <is>
          <t>Fruiting Trees</t>
        </is>
      </c>
      <c r="F146" s="11" t="inlineStr">
        <is>
          <t>Exotic</t>
        </is>
      </c>
      <c r="G146" s="11" t="inlineStr">
        <is>
          <t>Yes</t>
        </is>
      </c>
      <c r="H146" s="11" t="inlineStr">
        <is>
          <t>No</t>
        </is>
      </c>
      <c r="I146" s="10" t="inlineStr">
        <is>
          <t>Air layered</t>
        </is>
      </c>
      <c r="J146" s="11" t="n"/>
      <c r="K146" s="11" t="n"/>
      <c r="L146" s="11" t="n"/>
      <c r="M146" s="11" t="n"/>
      <c r="N146" s="11" t="n"/>
      <c r="O146" s="12" t="n">
        <v>440</v>
      </c>
      <c r="P146" s="12" t="n">
        <v>310</v>
      </c>
      <c r="Q146" s="12" t="n">
        <v>120</v>
      </c>
      <c r="R146" s="11" t="n"/>
      <c r="S146" s="13" t="n"/>
      <c r="T146" s="10" t="n">
        <v>0</v>
      </c>
      <c r="U146" s="11" t="n"/>
      <c r="V146" s="11" t="inlineStr">
        <is>
          <t>Out of Stock</t>
        </is>
      </c>
      <c r="W146" s="11" t="n"/>
      <c r="X146" s="11" t="n"/>
      <c r="Y146" s="10" t="n"/>
      <c r="Z146" s="10" t="n"/>
      <c r="AA146" s="14">
        <f>IF(AND(N(Y146)&gt;0,N(Z146)&gt;0),ROUND(43560/(Y146*Z146),0),"")</f>
        <v/>
      </c>
      <c r="AB146" s="10" t="n"/>
      <c r="AC146" s="10" t="inlineStr">
        <is>
          <t>Full sun</t>
        </is>
      </c>
      <c r="AD146" s="11" t="n"/>
      <c r="AE146" s="10" t="inlineStr">
        <is>
          <t>20°C to 40 °C</t>
        </is>
      </c>
      <c r="AF146" s="10" t="inlineStr">
        <is>
          <t>Medium sized tree</t>
        </is>
      </c>
      <c r="AG146" s="10" t="inlineStr">
        <is>
          <t>2 years</t>
        </is>
      </c>
      <c r="AH146" s="10" t="inlineStr">
        <is>
          <t>60Kgs to 150Kgs per tree</t>
        </is>
      </c>
      <c r="AI146" s="10" t="inlineStr">
        <is>
          <t>Year round</t>
        </is>
      </c>
      <c r="AJ146" s="10" t="inlineStr">
        <is>
          <t>20gm to 50gm</t>
        </is>
      </c>
      <c r="AK146" s="11" t="n"/>
      <c r="AL146" s="11" t="n"/>
      <c r="AM146" s="11" t="n"/>
      <c r="AN146" s="11" t="n"/>
      <c r="AO146" s="11" t="n"/>
      <c r="AP146" s="11" t="n"/>
      <c r="AQ146" s="11" t="n"/>
      <c r="AR146" s="10" t="inlineStr">
        <is>
          <t>https://hasiruagro.com/wp-content/uploads/2023/08/spicy-guava-fruit-fruit-image-Hasiruagro.jpg</t>
        </is>
      </c>
      <c r="AS146" s="11" t="n"/>
      <c r="AT146" s="11" t="n"/>
    </row>
    <row r="147">
      <c r="A147" s="10" t="inlineStr">
        <is>
          <t>HA00147</t>
        </is>
      </c>
      <c r="B147" s="10" t="inlineStr">
        <is>
          <t>Starfruit</t>
        </is>
      </c>
      <c r="C147" s="11" t="n"/>
      <c r="D147" s="10" t="inlineStr">
        <is>
          <t>Exotic fruits</t>
        </is>
      </c>
      <c r="E147" s="11" t="inlineStr">
        <is>
          <t>Fruiting Trees</t>
        </is>
      </c>
      <c r="F147" s="11" t="inlineStr">
        <is>
          <t>Exotic</t>
        </is>
      </c>
      <c r="G147" s="11" t="inlineStr">
        <is>
          <t>Yes</t>
        </is>
      </c>
      <c r="H147" s="11" t="inlineStr">
        <is>
          <t>No</t>
        </is>
      </c>
      <c r="I147" s="10" t="inlineStr">
        <is>
          <t>Seeded</t>
        </is>
      </c>
      <c r="J147" s="11" t="n"/>
      <c r="K147" s="11" t="n"/>
      <c r="L147" s="11" t="n"/>
      <c r="M147" s="11" t="n"/>
      <c r="N147" s="11" t="n"/>
      <c r="O147" s="12" t="n">
        <v>500</v>
      </c>
      <c r="P147" s="12" t="n">
        <v>350</v>
      </c>
      <c r="Q147" s="12" t="n">
        <v>150</v>
      </c>
      <c r="R147" s="11" t="n"/>
      <c r="S147" s="13" t="n"/>
      <c r="T147" s="10" t="n">
        <v>213</v>
      </c>
      <c r="U147" s="11" t="n"/>
      <c r="V147" s="11" t="inlineStr">
        <is>
          <t>Available</t>
        </is>
      </c>
      <c r="W147" s="11" t="n"/>
      <c r="X147" s="11" t="n"/>
      <c r="Y147" s="10" t="n"/>
      <c r="Z147" s="10" t="n"/>
      <c r="AA147" s="14">
        <f>IF(AND(N(Y147)&gt;0,N(Z147)&gt;0),ROUND(43560/(Y147*Z147),0),"")</f>
        <v/>
      </c>
      <c r="AB147" s="10" t="n"/>
      <c r="AC147" s="10" t="inlineStr">
        <is>
          <t>Partial shade or partial sun</t>
        </is>
      </c>
      <c r="AD147" s="11" t="n"/>
      <c r="AE147" s="10" t="inlineStr">
        <is>
          <t>20°C to 40 °C</t>
        </is>
      </c>
      <c r="AF147" s="10" t="inlineStr">
        <is>
          <t>Small to medium tree</t>
        </is>
      </c>
      <c r="AG147" s="10" t="inlineStr">
        <is>
          <t>1 year</t>
        </is>
      </c>
      <c r="AH147" s="10" t="inlineStr">
        <is>
          <t>15Kgs to 20Kgs per tree</t>
        </is>
      </c>
      <c r="AI147" s="10" t="inlineStr">
        <is>
          <t>Throughout the year</t>
        </is>
      </c>
      <c r="AJ147" s="10" t="inlineStr">
        <is>
          <t>70gms to 120gms</t>
        </is>
      </c>
      <c r="AK147" s="11" t="n"/>
      <c r="AL147" s="11" t="n"/>
      <c r="AM147" s="11" t="n"/>
      <c r="AN147" s="11" t="n"/>
      <c r="AO147" s="11" t="n"/>
      <c r="AP147" s="11" t="n"/>
      <c r="AQ147" s="11" t="n"/>
      <c r="AR147" s="10" t="inlineStr">
        <is>
          <t>https://hasiruagro.com/wp-content/uploads/2023/08/StarFruit-F.jpg</t>
        </is>
      </c>
      <c r="AS147" s="11" t="n"/>
      <c r="AT147" s="11" t="n"/>
    </row>
    <row r="148">
      <c r="A148" s="10" t="inlineStr">
        <is>
          <t>HA00148</t>
        </is>
      </c>
      <c r="B148" s="10" t="inlineStr">
        <is>
          <t>Strawberry guava</t>
        </is>
      </c>
      <c r="C148" s="11" t="n"/>
      <c r="D148" s="10" t="inlineStr">
        <is>
          <t>Exotic fruits</t>
        </is>
      </c>
      <c r="E148" s="11" t="inlineStr">
        <is>
          <t>Fruiting Trees</t>
        </is>
      </c>
      <c r="F148" s="11" t="inlineStr">
        <is>
          <t>Exotic</t>
        </is>
      </c>
      <c r="G148" s="11" t="inlineStr">
        <is>
          <t>Yes</t>
        </is>
      </c>
      <c r="H148" s="11" t="inlineStr">
        <is>
          <t>No</t>
        </is>
      </c>
      <c r="I148" s="10" t="inlineStr">
        <is>
          <t>Air layered</t>
        </is>
      </c>
      <c r="J148" s="11" t="n"/>
      <c r="K148" s="11" t="n"/>
      <c r="L148" s="11" t="n"/>
      <c r="M148" s="11" t="n"/>
      <c r="N148" s="11" t="n"/>
      <c r="O148" s="12" t="n">
        <v>900</v>
      </c>
      <c r="P148" s="12" t="n">
        <v>630</v>
      </c>
      <c r="Q148" s="12" t="n">
        <v>200</v>
      </c>
      <c r="R148" s="11" t="n"/>
      <c r="S148" s="13" t="n"/>
      <c r="T148" s="10" t="n">
        <v>0</v>
      </c>
      <c r="U148" s="11" t="n"/>
      <c r="V148" s="11" t="inlineStr">
        <is>
          <t>Out of Stock</t>
        </is>
      </c>
      <c r="W148" s="11" t="n"/>
      <c r="X148" s="11" t="n"/>
      <c r="Y148" s="10" t="n"/>
      <c r="Z148" s="10" t="n"/>
      <c r="AA148" s="14">
        <f>IF(AND(N(Y148)&gt;0,N(Z148)&gt;0),ROUND(43560/(Y148*Z148),0),"")</f>
        <v/>
      </c>
      <c r="AB148" s="10" t="n"/>
      <c r="AC148" s="10" t="inlineStr">
        <is>
          <t>Full sun</t>
        </is>
      </c>
      <c r="AD148" s="11" t="n"/>
      <c r="AE148" s="10" t="inlineStr">
        <is>
          <t>20°C to 40 °C</t>
        </is>
      </c>
      <c r="AF148" s="10" t="inlineStr">
        <is>
          <t>Medium sized tree</t>
        </is>
      </c>
      <c r="AG148" s="10" t="inlineStr">
        <is>
          <t>2 years</t>
        </is>
      </c>
      <c r="AH148" s="10" t="n"/>
      <c r="AI148" s="10" t="inlineStr">
        <is>
          <t>Year round</t>
        </is>
      </c>
      <c r="AJ148" s="10" t="inlineStr">
        <is>
          <t>10gm to 30gm</t>
        </is>
      </c>
      <c r="AK148" s="11" t="n"/>
      <c r="AL148" s="11" t="n"/>
      <c r="AM148" s="11" t="n"/>
      <c r="AN148" s="11" t="n"/>
      <c r="AO148" s="11" t="n"/>
      <c r="AP148" s="11" t="n"/>
      <c r="AQ148" s="11" t="n"/>
      <c r="AR148" s="10" t="inlineStr">
        <is>
          <t>https://hasiruagro.com/wp-content/uploads/2023/08/strawberry-guava-fruit-fruit-image-Hasiruagro.jpg</t>
        </is>
      </c>
      <c r="AS148" s="11" t="n"/>
      <c r="AT148" s="11" t="n"/>
    </row>
    <row r="149">
      <c r="A149" s="10" t="inlineStr">
        <is>
          <t>HA00149</t>
        </is>
      </c>
      <c r="B149" s="10" t="inlineStr">
        <is>
          <t>Sweet cherry</t>
        </is>
      </c>
      <c r="C149" s="11" t="n"/>
      <c r="D149" s="10" t="inlineStr">
        <is>
          <t>Exotic fruits</t>
        </is>
      </c>
      <c r="E149" s="11" t="inlineStr">
        <is>
          <t>Fruiting Trees</t>
        </is>
      </c>
      <c r="F149" s="11" t="inlineStr">
        <is>
          <t>Exotic</t>
        </is>
      </c>
      <c r="G149" s="11" t="inlineStr">
        <is>
          <t>Yes</t>
        </is>
      </c>
      <c r="H149" s="11" t="inlineStr">
        <is>
          <t>No</t>
        </is>
      </c>
      <c r="I149" s="10" t="inlineStr">
        <is>
          <t>Seeded</t>
        </is>
      </c>
      <c r="J149" s="11" t="n"/>
      <c r="K149" s="11" t="n"/>
      <c r="L149" s="11" t="n"/>
      <c r="M149" s="11" t="n"/>
      <c r="N149" s="11" t="n"/>
      <c r="O149" s="12" t="n">
        <v>720</v>
      </c>
      <c r="P149" s="12" t="n">
        <v>505</v>
      </c>
      <c r="Q149" s="12" t="n">
        <v>280</v>
      </c>
      <c r="R149" s="11" t="n"/>
      <c r="S149" s="13" t="n"/>
      <c r="T149" s="10" t="n">
        <v>0</v>
      </c>
      <c r="U149" s="11" t="n"/>
      <c r="V149" s="11" t="inlineStr">
        <is>
          <t>Out of Stock</t>
        </is>
      </c>
      <c r="W149" s="11" t="n"/>
      <c r="X149" s="11" t="n"/>
      <c r="Y149" s="10" t="n"/>
      <c r="Z149" s="10" t="n"/>
      <c r="AA149" s="14">
        <f>IF(AND(N(Y149)&gt;0,N(Z149)&gt;0),ROUND(43560/(Y149*Z149),0),"")</f>
        <v/>
      </c>
      <c r="AB149" s="10" t="n"/>
      <c r="AC149" s="10" t="inlineStr">
        <is>
          <t>Full sun</t>
        </is>
      </c>
      <c r="AD149" s="11" t="n"/>
      <c r="AE149" s="10" t="inlineStr">
        <is>
          <t>16°C to 35 °C</t>
        </is>
      </c>
      <c r="AF149" s="10" t="inlineStr">
        <is>
          <t>Small tree</t>
        </is>
      </c>
      <c r="AG149" s="10" t="inlineStr">
        <is>
          <t>3 years</t>
        </is>
      </c>
      <c r="AH149" s="10" t="inlineStr">
        <is>
          <t>20Kgs to 30Kgs per tree</t>
        </is>
      </c>
      <c r="AI149" s="10" t="inlineStr">
        <is>
          <t>November to March</t>
        </is>
      </c>
      <c r="AJ149" s="10" t="inlineStr">
        <is>
          <t>70gms to 100gms</t>
        </is>
      </c>
      <c r="AK149" s="11" t="n"/>
      <c r="AL149" s="11" t="n"/>
      <c r="AM149" s="11" t="n"/>
      <c r="AN149" s="11" t="n"/>
      <c r="AO149" s="11" t="n"/>
      <c r="AP149" s="11" t="n"/>
      <c r="AQ149" s="11" t="n"/>
      <c r="AR149" s="10" t="inlineStr">
        <is>
          <t>https://hasiruagro.com/wp-content/uploads/2023/08/Sweet-cherry-fruit-image-Hasiruagro.jpg</t>
        </is>
      </c>
      <c r="AS149" s="11" t="n"/>
      <c r="AT149" s="11" t="n"/>
    </row>
    <row r="150">
      <c r="A150" s="10" t="inlineStr">
        <is>
          <t>HA00150</t>
        </is>
      </c>
      <c r="B150" s="10" t="inlineStr">
        <is>
          <t>Guava Taiwan White</t>
        </is>
      </c>
      <c r="C150" s="11" t="n"/>
      <c r="D150" s="10" t="inlineStr">
        <is>
          <t>Desi Fruits</t>
        </is>
      </c>
      <c r="E150" s="11" t="inlineStr">
        <is>
          <t>Fruiting Trees</t>
        </is>
      </c>
      <c r="F150" s="11" t="inlineStr">
        <is>
          <t>Desi</t>
        </is>
      </c>
      <c r="G150" s="11" t="inlineStr">
        <is>
          <t>Yes</t>
        </is>
      </c>
      <c r="H150" s="11" t="inlineStr">
        <is>
          <t>No</t>
        </is>
      </c>
      <c r="I150" s="10" t="inlineStr">
        <is>
          <t>Air layered</t>
        </is>
      </c>
      <c r="J150" s="11" t="n"/>
      <c r="K150" s="11" t="n"/>
      <c r="L150" s="11" t="n"/>
      <c r="M150" s="11" t="n"/>
      <c r="N150" s="11" t="n"/>
      <c r="O150" s="12" t="n">
        <v>320</v>
      </c>
      <c r="P150" s="12" t="n">
        <v>225</v>
      </c>
      <c r="Q150" s="12" t="n">
        <v>80</v>
      </c>
      <c r="R150" s="11" t="n"/>
      <c r="S150" s="13" t="n"/>
      <c r="T150" s="10" t="n">
        <v>2000</v>
      </c>
      <c r="U150" s="11" t="n"/>
      <c r="V150" s="11" t="inlineStr">
        <is>
          <t>Available</t>
        </is>
      </c>
      <c r="W150" s="11" t="n"/>
      <c r="X150" s="11" t="n"/>
      <c r="Y150" s="10" t="n">
        <v>18</v>
      </c>
      <c r="Z150" s="10" t="n">
        <v>18</v>
      </c>
      <c r="AA150" s="14">
        <f>IF(AND(N(Y150)&gt;0,N(Z150)&gt;0),ROUND(43560/(Y150*Z150),0),"")</f>
        <v/>
      </c>
      <c r="AB150" s="10" t="inlineStr">
        <is>
          <t>18ft x 18ft</t>
        </is>
      </c>
      <c r="AC150" s="10" t="inlineStr">
        <is>
          <t>Full sun</t>
        </is>
      </c>
      <c r="AD150" s="11" t="n"/>
      <c r="AE150" s="10" t="inlineStr">
        <is>
          <t>20°C to 40 °C</t>
        </is>
      </c>
      <c r="AF150" s="10" t="inlineStr">
        <is>
          <t>Medium sized tree</t>
        </is>
      </c>
      <c r="AG150" s="10" t="inlineStr">
        <is>
          <t>2 years</t>
        </is>
      </c>
      <c r="AH150" s="10" t="inlineStr">
        <is>
          <t>30Kg to 70kg</t>
        </is>
      </c>
      <c r="AI150" s="10" t="inlineStr">
        <is>
          <t>Round the year</t>
        </is>
      </c>
      <c r="AJ150" s="10" t="inlineStr">
        <is>
          <t>150gms to 200gms</t>
        </is>
      </c>
      <c r="AK150" s="11" t="n"/>
      <c r="AL150" s="11" t="n"/>
      <c r="AM150" s="11" t="n"/>
      <c r="AN150" s="11" t="n"/>
      <c r="AO150" s="11" t="n"/>
      <c r="AP150" s="11" t="n"/>
      <c r="AQ150" s="11" t="n"/>
      <c r="AR150" s="10" t="inlineStr">
        <is>
          <t>https://hasiruagro.com/wp-content/uploads/2023/08/Guava-Taiwan-White.jpg</t>
        </is>
      </c>
      <c r="AS150" s="11" t="n"/>
      <c r="AT150" s="11" t="n"/>
    </row>
    <row r="151">
      <c r="A151" s="10" t="inlineStr">
        <is>
          <t>HA00152</t>
        </is>
      </c>
      <c r="B151" s="10" t="inlineStr">
        <is>
          <t>Teak</t>
        </is>
      </c>
      <c r="C151" s="11" t="n"/>
      <c r="D151" s="10" t="inlineStr">
        <is>
          <t>Forestry</t>
        </is>
      </c>
      <c r="E151" s="11" t="inlineStr">
        <is>
          <t>Timber Trees</t>
        </is>
      </c>
      <c r="F151" s="11" t="n"/>
      <c r="G151" s="11" t="inlineStr">
        <is>
          <t>Yes</t>
        </is>
      </c>
      <c r="H151" s="11" t="inlineStr">
        <is>
          <t>No</t>
        </is>
      </c>
      <c r="I151" s="10" t="inlineStr">
        <is>
          <t>Seeded</t>
        </is>
      </c>
      <c r="J151" s="11" t="n"/>
      <c r="K151" s="11" t="n"/>
      <c r="L151" s="11" t="n"/>
      <c r="M151" s="11" t="n"/>
      <c r="N151" s="11" t="n"/>
      <c r="O151" s="12" t="n">
        <v>440</v>
      </c>
      <c r="P151" s="12" t="n">
        <v>310</v>
      </c>
      <c r="Q151" s="12" t="n">
        <v>60</v>
      </c>
      <c r="R151" s="11" t="n"/>
      <c r="S151" s="13" t="n"/>
      <c r="T151" s="10" t="n">
        <v>0</v>
      </c>
      <c r="U151" s="11" t="n"/>
      <c r="V151" s="11" t="inlineStr">
        <is>
          <t>Out of Stock</t>
        </is>
      </c>
      <c r="W151" s="11" t="n"/>
      <c r="X151" s="11" t="n"/>
      <c r="Y151" s="10" t="n">
        <v>15</v>
      </c>
      <c r="Z151" s="10" t="n">
        <v>15</v>
      </c>
      <c r="AA151" s="14">
        <f>IF(AND(N(Y151)&gt;0,N(Z151)&gt;0),ROUND(43560/(Y151*Z151),0),"")</f>
        <v/>
      </c>
      <c r="AB151" s="10" t="inlineStr">
        <is>
          <t>15ft x 15ft</t>
        </is>
      </c>
      <c r="AC151" s="10" t="inlineStr">
        <is>
          <t>Full sun</t>
        </is>
      </c>
      <c r="AD151" s="11" t="n"/>
      <c r="AE151" s="10" t="inlineStr">
        <is>
          <t>20°C to 40°C</t>
        </is>
      </c>
      <c r="AF151" s="10" t="inlineStr">
        <is>
          <t>30ft to 60ft tall</t>
        </is>
      </c>
      <c r="AG151" s="10" t="inlineStr">
        <is>
          <t>15 years</t>
        </is>
      </c>
      <c r="AH151" s="10" t="inlineStr">
        <is>
          <t>50 to 90 cft of lumber</t>
        </is>
      </c>
      <c r="AI151" s="10" t="n"/>
      <c r="AJ151" s="10" t="n"/>
      <c r="AK151" s="11" t="n"/>
      <c r="AL151" s="11" t="n"/>
      <c r="AM151" s="11" t="n"/>
      <c r="AN151" s="11" t="n"/>
      <c r="AO151" s="11" t="n"/>
      <c r="AP151" s="11" t="n"/>
      <c r="AQ151" s="11" t="n"/>
      <c r="AR151" s="10" t="inlineStr">
        <is>
          <t>https://hasiruagro.com/wp-content/uploads/2023/08/Teak.jpg</t>
        </is>
      </c>
      <c r="AS151" s="11" t="n"/>
      <c r="AT151" s="11" t="n"/>
    </row>
    <row r="152">
      <c r="A152" s="10" t="inlineStr">
        <is>
          <t>HA00153</t>
        </is>
      </c>
      <c r="B152" s="10" t="inlineStr">
        <is>
          <t>Tennis Ball Cherry</t>
        </is>
      </c>
      <c r="C152" s="11" t="n"/>
      <c r="D152" s="10" t="inlineStr">
        <is>
          <t>Exotic fruits</t>
        </is>
      </c>
      <c r="E152" s="11" t="inlineStr">
        <is>
          <t>Fruiting Trees</t>
        </is>
      </c>
      <c r="F152" s="11" t="inlineStr">
        <is>
          <t>Exotic</t>
        </is>
      </c>
      <c r="G152" s="11" t="inlineStr">
        <is>
          <t>Yes</t>
        </is>
      </c>
      <c r="H152" s="11" t="inlineStr">
        <is>
          <t>No</t>
        </is>
      </c>
      <c r="I152" s="10" t="inlineStr">
        <is>
          <t>Seeded</t>
        </is>
      </c>
      <c r="J152" s="11" t="n"/>
      <c r="K152" s="11" t="n"/>
      <c r="L152" s="11" t="n"/>
      <c r="M152" s="11" t="n"/>
      <c r="N152" s="11" t="n"/>
      <c r="O152" s="12" t="n">
        <v>1400</v>
      </c>
      <c r="P152" s="12" t="n">
        <v>980</v>
      </c>
      <c r="Q152" s="12" t="n">
        <v>600</v>
      </c>
      <c r="R152" s="11" t="n"/>
      <c r="S152" s="13" t="n"/>
      <c r="T152" s="10" t="n">
        <v>0</v>
      </c>
      <c r="U152" s="11" t="n"/>
      <c r="V152" s="11" t="inlineStr">
        <is>
          <t>Out of Stock</t>
        </is>
      </c>
      <c r="W152" s="11" t="n"/>
      <c r="X152" s="11" t="n"/>
      <c r="Y152" s="10" t="n"/>
      <c r="Z152" s="10" t="n"/>
      <c r="AA152" s="14">
        <f>IF(AND(N(Y152)&gt;0,N(Z152)&gt;0),ROUND(43560/(Y152*Z152),0),"")</f>
        <v/>
      </c>
      <c r="AB152" s="10" t="n"/>
      <c r="AC152" s="10" t="inlineStr">
        <is>
          <t>Full sun</t>
        </is>
      </c>
      <c r="AD152" s="11" t="n"/>
      <c r="AE152" s="10" t="inlineStr">
        <is>
          <t>16°C to 35 °C</t>
        </is>
      </c>
      <c r="AF152" s="10" t="inlineStr">
        <is>
          <t>Small tree</t>
        </is>
      </c>
      <c r="AG152" s="10" t="inlineStr">
        <is>
          <t>3 years</t>
        </is>
      </c>
      <c r="AH152" s="10" t="inlineStr">
        <is>
          <t>20Kgs to 30Kgs per tree</t>
        </is>
      </c>
      <c r="AI152" s="10" t="inlineStr">
        <is>
          <t>November to March</t>
        </is>
      </c>
      <c r="AJ152" s="10" t="inlineStr">
        <is>
          <t>70gms to 100gms</t>
        </is>
      </c>
      <c r="AK152" s="11" t="n"/>
      <c r="AL152" s="11" t="n"/>
      <c r="AM152" s="11" t="n"/>
      <c r="AN152" s="11" t="n"/>
      <c r="AO152" s="11" t="n"/>
      <c r="AP152" s="11" t="n"/>
      <c r="AQ152" s="11" t="n"/>
      <c r="AR152" s="10" t="inlineStr">
        <is>
          <t>https://hasiruagro.com/wp-content/uploads/2023/08/Tennis-Ball-Cherry-fruit-image-Hasiruagro.jpg</t>
        </is>
      </c>
      <c r="AS152" s="11" t="n"/>
      <c r="AT152" s="11" t="n"/>
    </row>
    <row r="153">
      <c r="A153" s="10" t="inlineStr">
        <is>
          <t>HA00154</t>
        </is>
      </c>
      <c r="B153" s="10" t="inlineStr">
        <is>
          <t>Thai All Season Mango</t>
        </is>
      </c>
      <c r="C153" s="11" t="n"/>
      <c r="D153" s="10" t="inlineStr">
        <is>
          <t>Exotic fruits</t>
        </is>
      </c>
      <c r="E153" s="11" t="inlineStr">
        <is>
          <t>Fruiting Trees</t>
        </is>
      </c>
      <c r="F153" s="11" t="inlineStr">
        <is>
          <t>Exotic</t>
        </is>
      </c>
      <c r="G153" s="11" t="inlineStr">
        <is>
          <t>Yes</t>
        </is>
      </c>
      <c r="H153" s="11" t="inlineStr">
        <is>
          <t>No</t>
        </is>
      </c>
      <c r="I153" s="10" t="inlineStr">
        <is>
          <t>Grafted</t>
        </is>
      </c>
      <c r="J153" s="11" t="n"/>
      <c r="K153" s="11" t="n"/>
      <c r="L153" s="11" t="n"/>
      <c r="M153" s="11" t="n"/>
      <c r="N153" s="11" t="n"/>
      <c r="O153" s="12" t="n">
        <v>700</v>
      </c>
      <c r="P153" s="12" t="n">
        <v>490</v>
      </c>
      <c r="Q153" s="12" t="n">
        <v>250</v>
      </c>
      <c r="R153" s="11" t="n"/>
      <c r="S153" s="13" t="n"/>
      <c r="T153" s="10" t="n">
        <v>137</v>
      </c>
      <c r="U153" s="11" t="n"/>
      <c r="V153" s="11" t="inlineStr">
        <is>
          <t>Available</t>
        </is>
      </c>
      <c r="W153" s="11" t="n"/>
      <c r="X153" s="11" t="n"/>
      <c r="Y153" s="10" t="n">
        <v>20</v>
      </c>
      <c r="Z153" s="10" t="n">
        <v>20</v>
      </c>
      <c r="AA153" s="14">
        <f>IF(AND(N(Y153)&gt;0,N(Z153)&gt;0),ROUND(43560/(Y153*Z153),0),"")</f>
        <v/>
      </c>
      <c r="AB153" s="10" t="inlineStr">
        <is>
          <t>20ft x 20ft</t>
        </is>
      </c>
      <c r="AC153" s="10" t="inlineStr">
        <is>
          <t>Full sun</t>
        </is>
      </c>
      <c r="AD153" s="11" t="n"/>
      <c r="AE153" s="10" t="inlineStr">
        <is>
          <t>20°C to 40 °C</t>
        </is>
      </c>
      <c r="AF153" s="10" t="inlineStr">
        <is>
          <t>Medium to big tree</t>
        </is>
      </c>
      <c r="AG153" s="10" t="inlineStr">
        <is>
          <t>2 years</t>
        </is>
      </c>
      <c r="AH153" s="10" t="inlineStr">
        <is>
          <t>50Kgs to 80Kgs</t>
        </is>
      </c>
      <c r="AI153" s="10" t="inlineStr">
        <is>
          <t>Round the year</t>
        </is>
      </c>
      <c r="AJ153" s="10" t="inlineStr">
        <is>
          <t>100gms to 150gms</t>
        </is>
      </c>
      <c r="AK153" s="11" t="n"/>
      <c r="AL153" s="11" t="n"/>
      <c r="AM153" s="11" t="n"/>
      <c r="AN153" s="11" t="n"/>
      <c r="AO153" s="11" t="n"/>
      <c r="AP153" s="11" t="n"/>
      <c r="AQ153" s="11" t="n"/>
      <c r="AR153" s="10" t="inlineStr">
        <is>
          <t>https://hasiruagro.com/wp-content/uploads/2023/07/Thai-mango-fruit-fruit-image-Has.webp</t>
        </is>
      </c>
      <c r="AS153" s="11" t="n"/>
      <c r="AT153" s="11" t="n"/>
    </row>
    <row r="154">
      <c r="A154" s="10" t="inlineStr">
        <is>
          <t>HA00155</t>
        </is>
      </c>
      <c r="B154" s="10" t="inlineStr">
        <is>
          <t>Thai Banana mango</t>
        </is>
      </c>
      <c r="C154" s="11" t="n"/>
      <c r="D154" s="10" t="inlineStr">
        <is>
          <t>Exotic fruits</t>
        </is>
      </c>
      <c r="E154" s="11" t="inlineStr">
        <is>
          <t>Fruiting Trees</t>
        </is>
      </c>
      <c r="F154" s="11" t="inlineStr">
        <is>
          <t>Exotic</t>
        </is>
      </c>
      <c r="G154" s="11" t="inlineStr">
        <is>
          <t>Yes</t>
        </is>
      </c>
      <c r="H154" s="11" t="inlineStr">
        <is>
          <t>No</t>
        </is>
      </c>
      <c r="I154" s="10" t="inlineStr">
        <is>
          <t>Grafted</t>
        </is>
      </c>
      <c r="J154" s="11" t="n"/>
      <c r="K154" s="11" t="n"/>
      <c r="L154" s="11" t="n"/>
      <c r="M154" s="11" t="n"/>
      <c r="N154" s="11" t="n"/>
      <c r="O154" s="12" t="n">
        <v>700</v>
      </c>
      <c r="P154" s="12" t="n">
        <v>490</v>
      </c>
      <c r="Q154" s="12" t="n">
        <v>200</v>
      </c>
      <c r="R154" s="11" t="n"/>
      <c r="S154" s="13" t="n"/>
      <c r="T154" s="10" t="n">
        <v>0</v>
      </c>
      <c r="U154" s="11" t="n"/>
      <c r="V154" s="11" t="inlineStr">
        <is>
          <t>Out of Stock</t>
        </is>
      </c>
      <c r="W154" s="11" t="n"/>
      <c r="X154" s="11" t="n"/>
      <c r="Y154" s="10" t="n"/>
      <c r="Z154" s="10" t="n"/>
      <c r="AA154" s="14">
        <f>IF(AND(N(Y154)&gt;0,N(Z154)&gt;0),ROUND(43560/(Y154*Z154),0),"")</f>
        <v/>
      </c>
      <c r="AB154" s="10" t="inlineStr">
        <is>
          <t>10-12 feet between trees</t>
        </is>
      </c>
      <c r="AC154" s="10" t="inlineStr">
        <is>
          <t>Full sun</t>
        </is>
      </c>
      <c r="AD154" s="11" t="n"/>
      <c r="AE154" s="10" t="inlineStr">
        <is>
          <t>20°C to 40 °C</t>
        </is>
      </c>
      <c r="AF154" s="10" t="inlineStr">
        <is>
          <t>Medium to big tree</t>
        </is>
      </c>
      <c r="AG154" s="10" t="inlineStr">
        <is>
          <t>2 years</t>
        </is>
      </c>
      <c r="AH154" s="10" t="inlineStr">
        <is>
          <t>80Kgs to 100Kgs per tree</t>
        </is>
      </c>
      <c r="AI154" s="10" t="inlineStr">
        <is>
          <t>March to June</t>
        </is>
      </c>
      <c r="AJ154" s="10" t="inlineStr">
        <is>
          <t>100gms to 150gms</t>
        </is>
      </c>
      <c r="AK154" s="11" t="n"/>
      <c r="AL154" s="11" t="n"/>
      <c r="AM154" s="11" t="n"/>
      <c r="AN154" s="11" t="n"/>
      <c r="AO154" s="11" t="n"/>
      <c r="AP154" s="11" t="n"/>
      <c r="AQ154" s="11" t="n"/>
      <c r="AR154" s="10" t="inlineStr">
        <is>
          <t>https://hasiruagro.com/wp-content/uploads/2023/07/Thai-Banana-mango-fruit-image-Ha.webp</t>
        </is>
      </c>
      <c r="AS154" s="11" t="n"/>
      <c r="AT154" s="11" t="n"/>
    </row>
    <row r="155">
      <c r="A155" s="10" t="inlineStr">
        <is>
          <t>HA00156</t>
        </is>
      </c>
      <c r="B155" s="10" t="inlineStr">
        <is>
          <t>Thai black Jamun</t>
        </is>
      </c>
      <c r="C155" s="11" t="n"/>
      <c r="D155" s="10" t="inlineStr">
        <is>
          <t>Exotic fruits</t>
        </is>
      </c>
      <c r="E155" s="11" t="inlineStr">
        <is>
          <t>Fruiting Trees</t>
        </is>
      </c>
      <c r="F155" s="11" t="inlineStr">
        <is>
          <t>Exotic</t>
        </is>
      </c>
      <c r="G155" s="11" t="inlineStr">
        <is>
          <t>Yes</t>
        </is>
      </c>
      <c r="H155" s="11" t="inlineStr">
        <is>
          <t>No</t>
        </is>
      </c>
      <c r="I155" s="10" t="inlineStr">
        <is>
          <t>Grafted</t>
        </is>
      </c>
      <c r="J155" s="11" t="n"/>
      <c r="K155" s="11" t="n"/>
      <c r="L155" s="11" t="n"/>
      <c r="M155" s="11" t="n"/>
      <c r="N155" s="11" t="n"/>
      <c r="O155" s="12" t="n">
        <v>400</v>
      </c>
      <c r="P155" s="12" t="n">
        <v>280</v>
      </c>
      <c r="Q155" s="12" t="n">
        <v>150</v>
      </c>
      <c r="R155" s="11" t="n"/>
      <c r="S155" s="13" t="n"/>
      <c r="T155" s="10" t="n">
        <v>0</v>
      </c>
      <c r="U155" s="11" t="n"/>
      <c r="V155" s="11" t="inlineStr">
        <is>
          <t>Out of Stock</t>
        </is>
      </c>
      <c r="W155" s="11" t="n"/>
      <c r="X155" s="11" t="n"/>
      <c r="Y155" s="10" t="n"/>
      <c r="Z155" s="10" t="n"/>
      <c r="AA155" s="14">
        <f>IF(AND(N(Y155)&gt;0,N(Z155)&gt;0),ROUND(43560/(Y155*Z155),0),"")</f>
        <v/>
      </c>
      <c r="AB155" s="10" t="n"/>
      <c r="AC155" s="10" t="inlineStr">
        <is>
          <t>Full sun</t>
        </is>
      </c>
      <c r="AD155" s="11" t="n"/>
      <c r="AE155" s="10" t="inlineStr">
        <is>
          <t>20°C to 40 °C</t>
        </is>
      </c>
      <c r="AF155" s="10" t="inlineStr">
        <is>
          <t>Medium to big tree</t>
        </is>
      </c>
      <c r="AG155" s="10" t="inlineStr">
        <is>
          <t>4 years</t>
        </is>
      </c>
      <c r="AH155" s="10" t="inlineStr">
        <is>
          <t>60Kgs to 70Kgs</t>
        </is>
      </c>
      <c r="AI155" s="10" t="inlineStr">
        <is>
          <t>June to July</t>
        </is>
      </c>
      <c r="AJ155" s="10" t="inlineStr">
        <is>
          <t>200gms to 300gms</t>
        </is>
      </c>
      <c r="AK155" s="11" t="n"/>
      <c r="AL155" s="11" t="n"/>
      <c r="AM155" s="11" t="n"/>
      <c r="AN155" s="11" t="n"/>
      <c r="AO155" s="11" t="n"/>
      <c r="AP155" s="11" t="n"/>
      <c r="AQ155" s="11" t="n"/>
      <c r="AR155" s="10" t="inlineStr">
        <is>
          <t>https://hasiruagro.com/wp-content/uploads/2023/08/Thai-black-Jamun.jpg</t>
        </is>
      </c>
      <c r="AS155" s="11" t="n"/>
      <c r="AT155" s="11" t="n"/>
    </row>
    <row r="156">
      <c r="A156" s="10" t="inlineStr">
        <is>
          <t>HA00157</t>
        </is>
      </c>
      <c r="B156" s="10" t="inlineStr">
        <is>
          <t>Thai chakota/Pomelo</t>
        </is>
      </c>
      <c r="C156" s="11" t="n"/>
      <c r="D156" s="10" t="inlineStr">
        <is>
          <t>Desi Fruits</t>
        </is>
      </c>
      <c r="E156" s="11" t="inlineStr">
        <is>
          <t>Fruiting Trees</t>
        </is>
      </c>
      <c r="F156" s="11" t="inlineStr">
        <is>
          <t>Desi</t>
        </is>
      </c>
      <c r="G156" s="11" t="inlineStr">
        <is>
          <t>Yes</t>
        </is>
      </c>
      <c r="H156" s="11" t="inlineStr">
        <is>
          <t>No</t>
        </is>
      </c>
      <c r="I156" s="10" t="inlineStr">
        <is>
          <t>Grafted</t>
        </is>
      </c>
      <c r="J156" s="11" t="n"/>
      <c r="K156" s="11" t="n"/>
      <c r="L156" s="11" t="n"/>
      <c r="M156" s="11" t="n"/>
      <c r="N156" s="11" t="n"/>
      <c r="O156" s="12" t="n">
        <v>600</v>
      </c>
      <c r="P156" s="12" t="n">
        <v>420</v>
      </c>
      <c r="Q156" s="12" t="n">
        <v>200</v>
      </c>
      <c r="R156" s="11" t="n"/>
      <c r="S156" s="13" t="n"/>
      <c r="T156" s="10" t="n">
        <v>0</v>
      </c>
      <c r="U156" s="11" t="n"/>
      <c r="V156" s="11" t="inlineStr">
        <is>
          <t>Out of Stock</t>
        </is>
      </c>
      <c r="W156" s="11" t="n"/>
      <c r="X156" s="11" t="n"/>
      <c r="Y156" s="10" t="n">
        <v>18</v>
      </c>
      <c r="Z156" s="10" t="n">
        <v>18</v>
      </c>
      <c r="AA156" s="14">
        <f>IF(AND(N(Y156)&gt;0,N(Z156)&gt;0),ROUND(43560/(Y156*Z156),0),"")</f>
        <v/>
      </c>
      <c r="AB156" s="10" t="inlineStr">
        <is>
          <t>18ft x 18ft</t>
        </is>
      </c>
      <c r="AC156" s="10" t="inlineStr">
        <is>
          <t>Open sun</t>
        </is>
      </c>
      <c r="AD156" s="11" t="n"/>
      <c r="AE156" s="10" t="inlineStr">
        <is>
          <t>15°C to 35 °C</t>
        </is>
      </c>
      <c r="AF156" s="10" t="inlineStr">
        <is>
          <t>Medium sized tree</t>
        </is>
      </c>
      <c r="AG156" s="10" t="inlineStr">
        <is>
          <t>2 years</t>
        </is>
      </c>
      <c r="AH156" s="10" t="inlineStr">
        <is>
          <t>300 to 500 fruits</t>
        </is>
      </c>
      <c r="AI156" s="10" t="inlineStr">
        <is>
          <t>September to February</t>
        </is>
      </c>
      <c r="AJ156" s="10" t="inlineStr">
        <is>
          <t>0.5Kg to 2Kgs</t>
        </is>
      </c>
      <c r="AK156" s="11" t="n"/>
      <c r="AL156" s="11" t="n"/>
      <c r="AM156" s="11" t="n"/>
      <c r="AN156" s="11" t="n"/>
      <c r="AO156" s="11" t="n"/>
      <c r="AP156" s="11" t="n"/>
      <c r="AQ156" s="11" t="n"/>
      <c r="AR156" s="10" t="inlineStr">
        <is>
          <t>https://hasiruagro.com/wp-content/uploads/2023/08/Thai-Pomelo-fruit-image-Hasiruagro.jpg</t>
        </is>
      </c>
      <c r="AS156" s="11" t="n"/>
      <c r="AT156" s="11" t="n"/>
    </row>
    <row r="157">
      <c r="A157" s="10" t="inlineStr">
        <is>
          <t>HA00158</t>
        </is>
      </c>
      <c r="B157" s="10" t="inlineStr">
        <is>
          <t>Thai Chikku</t>
        </is>
      </c>
      <c r="C157" s="11" t="n"/>
      <c r="D157" s="10" t="inlineStr">
        <is>
          <t>Exotic fruits</t>
        </is>
      </c>
      <c r="E157" s="11" t="inlineStr">
        <is>
          <t>Fruiting Trees</t>
        </is>
      </c>
      <c r="F157" s="11" t="inlineStr">
        <is>
          <t>Exotic</t>
        </is>
      </c>
      <c r="G157" s="11" t="inlineStr">
        <is>
          <t>Yes</t>
        </is>
      </c>
      <c r="H157" s="11" t="inlineStr">
        <is>
          <t>No</t>
        </is>
      </c>
      <c r="I157" s="10" t="inlineStr">
        <is>
          <t>Grafted</t>
        </is>
      </c>
      <c r="J157" s="11" t="n"/>
      <c r="K157" s="11" t="n"/>
      <c r="L157" s="11" t="n"/>
      <c r="M157" s="11" t="n"/>
      <c r="N157" s="11" t="n"/>
      <c r="O157" s="12" t="n">
        <v>550</v>
      </c>
      <c r="P157" s="12" t="n">
        <v>385</v>
      </c>
      <c r="Q157" s="12" t="n">
        <v>175</v>
      </c>
      <c r="R157" s="11" t="n"/>
      <c r="S157" s="13" t="n"/>
      <c r="T157" s="10" t="n"/>
      <c r="U157" s="11" t="n"/>
      <c r="V157" s="11" t="inlineStr">
        <is>
          <t>Out of Stock</t>
        </is>
      </c>
      <c r="W157" s="11" t="n"/>
      <c r="X157" s="11" t="n"/>
      <c r="Y157" s="10" t="n"/>
      <c r="Z157" s="10" t="n"/>
      <c r="AA157" s="14">
        <f>IF(AND(N(Y157)&gt;0,N(Z157)&gt;0),ROUND(43560/(Y157*Z157),0),"")</f>
        <v/>
      </c>
      <c r="AB157" s="10" t="n"/>
      <c r="AC157" s="10" t="inlineStr">
        <is>
          <t>Full sun</t>
        </is>
      </c>
      <c r="AD157" s="11" t="n"/>
      <c r="AE157" s="10" t="inlineStr">
        <is>
          <t>17°C to 38°C</t>
        </is>
      </c>
      <c r="AF157" s="10" t="inlineStr">
        <is>
          <t>Small to medium sized tree</t>
        </is>
      </c>
      <c r="AG157" s="10" t="inlineStr">
        <is>
          <t>3 years</t>
        </is>
      </c>
      <c r="AH157" s="10" t="inlineStr">
        <is>
          <t>250 to 500 fruits per tree</t>
        </is>
      </c>
      <c r="AI157" s="10" t="inlineStr">
        <is>
          <t>January to June</t>
        </is>
      </c>
      <c r="AJ157" s="10" t="inlineStr">
        <is>
          <t>100gms to 125gms</t>
        </is>
      </c>
      <c r="AK157" s="11" t="n"/>
      <c r="AL157" s="11" t="n"/>
      <c r="AM157" s="11" t="n"/>
      <c r="AN157" s="11" t="n"/>
      <c r="AO157" s="11" t="n"/>
      <c r="AP157" s="11" t="n"/>
      <c r="AQ157" s="11" t="n"/>
      <c r="AR157" s="10" t="inlineStr">
        <is>
          <t>https://hasiruagro.com/wp-content/uploads/2023/08/Thai-chikku-fruit-images.jpg</t>
        </is>
      </c>
      <c r="AS157" s="11" t="n"/>
      <c r="AT157" s="11" t="n"/>
    </row>
    <row r="158">
      <c r="A158" s="10" t="inlineStr">
        <is>
          <t>HA00159</t>
        </is>
      </c>
      <c r="B158" s="10" t="inlineStr">
        <is>
          <t>Thai Long Chikku</t>
        </is>
      </c>
      <c r="C158" s="11" t="n"/>
      <c r="D158" s="10" t="inlineStr">
        <is>
          <t>Exotic fruits</t>
        </is>
      </c>
      <c r="E158" s="11" t="inlineStr">
        <is>
          <t>Fruiting Trees</t>
        </is>
      </c>
      <c r="F158" s="11" t="inlineStr">
        <is>
          <t>Exotic</t>
        </is>
      </c>
      <c r="G158" s="11" t="inlineStr">
        <is>
          <t>Yes</t>
        </is>
      </c>
      <c r="H158" s="11" t="inlineStr">
        <is>
          <t>No</t>
        </is>
      </c>
      <c r="I158" s="10" t="inlineStr">
        <is>
          <t>Grafted</t>
        </is>
      </c>
      <c r="J158" s="11" t="n"/>
      <c r="K158" s="11" t="n"/>
      <c r="L158" s="11" t="n"/>
      <c r="M158" s="11" t="n"/>
      <c r="N158" s="11" t="n"/>
      <c r="O158" s="12" t="n">
        <v>800</v>
      </c>
      <c r="P158" s="12" t="n">
        <v>560</v>
      </c>
      <c r="Q158" s="12" t="n">
        <v>300</v>
      </c>
      <c r="R158" s="11" t="n"/>
      <c r="S158" s="13" t="n"/>
      <c r="T158" s="10" t="n">
        <v>0</v>
      </c>
      <c r="U158" s="11" t="n"/>
      <c r="V158" s="11" t="inlineStr">
        <is>
          <t>Out of Stock</t>
        </is>
      </c>
      <c r="W158" s="11" t="n"/>
      <c r="X158" s="11" t="n"/>
      <c r="Y158" s="10" t="n"/>
      <c r="Z158" s="10" t="n"/>
      <c r="AA158" s="14">
        <f>IF(AND(N(Y158)&gt;0,N(Z158)&gt;0),ROUND(43560/(Y158*Z158),0),"")</f>
        <v/>
      </c>
      <c r="AB158" s="10" t="n"/>
      <c r="AC158" s="10" t="inlineStr">
        <is>
          <t>Full sun</t>
        </is>
      </c>
      <c r="AD158" s="11" t="n"/>
      <c r="AE158" s="10" t="inlineStr">
        <is>
          <t>17°C to 38°C</t>
        </is>
      </c>
      <c r="AF158" s="10" t="inlineStr">
        <is>
          <t>Small to medium sized tree</t>
        </is>
      </c>
      <c r="AG158" s="10" t="inlineStr">
        <is>
          <t>3 years</t>
        </is>
      </c>
      <c r="AH158" s="10" t="inlineStr">
        <is>
          <t>250 to 500 fruits per tree</t>
        </is>
      </c>
      <c r="AI158" s="10" t="inlineStr">
        <is>
          <t>January to June</t>
        </is>
      </c>
      <c r="AJ158" s="10" t="inlineStr">
        <is>
          <t>100gms to 125gms</t>
        </is>
      </c>
      <c r="AK158" s="11" t="n"/>
      <c r="AL158" s="11" t="n"/>
      <c r="AM158" s="11" t="n"/>
      <c r="AN158" s="11" t="n"/>
      <c r="AO158" s="11" t="n"/>
      <c r="AP158" s="11" t="n"/>
      <c r="AQ158" s="11" t="n"/>
      <c r="AR158" s="10" t="inlineStr">
        <is>
          <t>https://hasiruagro.com/wp-content/uploads/2024/03/Thai-Long-Chikoo-Fruit-Hasiru-Agro.webp</t>
        </is>
      </c>
      <c r="AS158" s="11" t="n"/>
      <c r="AT158" s="11" t="n"/>
    </row>
    <row r="159">
      <c r="A159" s="10" t="inlineStr">
        <is>
          <t>HA00160</t>
        </is>
      </c>
      <c r="B159" s="10" t="inlineStr">
        <is>
          <t>Thai Mix mango</t>
        </is>
      </c>
      <c r="C159" s="11" t="n"/>
      <c r="D159" s="10" t="inlineStr">
        <is>
          <t>Exotic fruits</t>
        </is>
      </c>
      <c r="E159" s="11" t="inlineStr">
        <is>
          <t>Fruiting Trees</t>
        </is>
      </c>
      <c r="F159" s="11" t="inlineStr">
        <is>
          <t>Exotic</t>
        </is>
      </c>
      <c r="G159" s="11" t="inlineStr">
        <is>
          <t>Yes</t>
        </is>
      </c>
      <c r="H159" s="11" t="inlineStr">
        <is>
          <t>No</t>
        </is>
      </c>
      <c r="I159" s="10" t="inlineStr">
        <is>
          <t>Grafted</t>
        </is>
      </c>
      <c r="J159" s="11" t="n"/>
      <c r="K159" s="11" t="n"/>
      <c r="L159" s="11" t="n"/>
      <c r="M159" s="11" t="n"/>
      <c r="N159" s="11" t="n"/>
      <c r="O159" s="12" t="n">
        <v>800</v>
      </c>
      <c r="P159" s="12" t="n">
        <v>560</v>
      </c>
      <c r="Q159" s="12" t="n">
        <v>300</v>
      </c>
      <c r="R159" s="11" t="n"/>
      <c r="S159" s="13" t="n"/>
      <c r="T159" s="10" t="n">
        <v>0</v>
      </c>
      <c r="U159" s="11" t="n"/>
      <c r="V159" s="11" t="inlineStr">
        <is>
          <t>Out of Stock</t>
        </is>
      </c>
      <c r="W159" s="11" t="n"/>
      <c r="X159" s="11" t="n"/>
      <c r="Y159" s="10" t="n"/>
      <c r="Z159" s="10" t="n"/>
      <c r="AA159" s="14">
        <f>IF(AND(N(Y159)&gt;0,N(Z159)&gt;0),ROUND(43560/(Y159*Z159),0),"")</f>
        <v/>
      </c>
      <c r="AB159" s="10" t="inlineStr">
        <is>
          <t>10-15 ft apart</t>
        </is>
      </c>
      <c r="AC159" s="10" t="inlineStr">
        <is>
          <t>Full sun</t>
        </is>
      </c>
      <c r="AD159" s="11" t="n"/>
      <c r="AE159" s="10" t="inlineStr">
        <is>
          <t>20°C to 40 °C</t>
        </is>
      </c>
      <c r="AF159" s="10" t="inlineStr">
        <is>
          <t>Medium to big tree</t>
        </is>
      </c>
      <c r="AG159" s="10" t="inlineStr">
        <is>
          <t>2 years</t>
        </is>
      </c>
      <c r="AH159" s="10" t="inlineStr">
        <is>
          <t>80Kgs to 100Kgs per tree</t>
        </is>
      </c>
      <c r="AI159" s="10" t="inlineStr">
        <is>
          <t>March to June</t>
        </is>
      </c>
      <c r="AJ159" s="10" t="inlineStr">
        <is>
          <t>150gms to 200gms</t>
        </is>
      </c>
      <c r="AK159" s="11" t="n"/>
      <c r="AL159" s="11" t="n"/>
      <c r="AM159" s="11" t="n"/>
      <c r="AN159" s="11" t="n"/>
      <c r="AO159" s="11" t="n"/>
      <c r="AP159" s="11" t="n"/>
      <c r="AQ159" s="11" t="n"/>
      <c r="AR159" s="10" t="inlineStr">
        <is>
          <t>https://hasiruagro.com/wp-content/uploads/2023/07/Thai-Mix-mango-fruit-image-hasir.webp</t>
        </is>
      </c>
      <c r="AS159" s="11" t="n"/>
      <c r="AT159" s="11" t="n"/>
    </row>
    <row r="160">
      <c r="A160" s="10" t="inlineStr">
        <is>
          <t>HA00161</t>
        </is>
      </c>
      <c r="B160" s="10" t="inlineStr">
        <is>
          <t>Thai seedless lime</t>
        </is>
      </c>
      <c r="C160" s="11" t="n"/>
      <c r="D160" s="10" t="inlineStr">
        <is>
          <t>Exotic fruits</t>
        </is>
      </c>
      <c r="E160" s="11" t="inlineStr">
        <is>
          <t>Fruiting Trees</t>
        </is>
      </c>
      <c r="F160" s="11" t="inlineStr">
        <is>
          <t>Exotic</t>
        </is>
      </c>
      <c r="G160" s="11" t="inlineStr">
        <is>
          <t>Yes</t>
        </is>
      </c>
      <c r="H160" s="11" t="inlineStr">
        <is>
          <t>No</t>
        </is>
      </c>
      <c r="I160" s="10" t="inlineStr">
        <is>
          <t>Citrus Tree</t>
        </is>
      </c>
      <c r="J160" s="11" t="n"/>
      <c r="K160" s="11" t="n"/>
      <c r="L160" s="11" t="n"/>
      <c r="M160" s="11" t="n"/>
      <c r="N160" s="11" t="n"/>
      <c r="O160" s="12" t="n">
        <v>440</v>
      </c>
      <c r="P160" s="12" t="n">
        <v>310</v>
      </c>
      <c r="Q160" s="12" t="n">
        <v>150</v>
      </c>
      <c r="R160" s="11" t="n"/>
      <c r="S160" s="13" t="n"/>
      <c r="T160" s="10" t="n">
        <v>206</v>
      </c>
      <c r="U160" s="11" t="n"/>
      <c r="V160" s="11" t="inlineStr">
        <is>
          <t>Available</t>
        </is>
      </c>
      <c r="W160" s="11" t="n"/>
      <c r="X160" s="11" t="n"/>
      <c r="Y160" s="10" t="n"/>
      <c r="Z160" s="10" t="n"/>
      <c r="AA160" s="14">
        <f>IF(AND(N(Y160)&gt;0,N(Z160)&gt;0),ROUND(43560/(Y160*Z160),0),"")</f>
        <v/>
      </c>
      <c r="AB160" s="10" t="inlineStr">
        <is>
          <t>10-12 feet between trees</t>
        </is>
      </c>
      <c r="AC160" s="10" t="inlineStr">
        <is>
          <t>Partial shade</t>
        </is>
      </c>
      <c r="AD160" s="11" t="n"/>
      <c r="AE160" s="10" t="inlineStr">
        <is>
          <t>20°C to 40 °C</t>
        </is>
      </c>
      <c r="AF160" s="10" t="inlineStr">
        <is>
          <t>Bush or small tree</t>
        </is>
      </c>
      <c r="AG160" s="10" t="inlineStr">
        <is>
          <t>2 years</t>
        </is>
      </c>
      <c r="AH160" s="10" t="inlineStr">
        <is>
          <t>1000 to 1500 lemons per tree</t>
        </is>
      </c>
      <c r="AI160" s="10" t="inlineStr">
        <is>
          <t>Year-round, with peak seasons in summer and early autumn</t>
        </is>
      </c>
      <c r="AJ160" s="10" t="inlineStr">
        <is>
          <t>50gms</t>
        </is>
      </c>
      <c r="AK160" s="11" t="n"/>
      <c r="AL160" s="11" t="n"/>
      <c r="AM160" s="11" t="n"/>
      <c r="AN160" s="11" t="n"/>
      <c r="AO160" s="11" t="n"/>
      <c r="AP160" s="11" t="n"/>
      <c r="AQ160" s="11" t="n"/>
      <c r="AR160" s="10" t="inlineStr">
        <is>
          <t>https://hasiruagro.com/wp-content/uploads/2023/07/Thai-seedless-lime-fruit-image-h.webp</t>
        </is>
      </c>
      <c r="AS160" s="11" t="n"/>
      <c r="AT160" s="11" t="n"/>
    </row>
    <row r="161">
      <c r="A161" s="10" t="inlineStr">
        <is>
          <t>HA00162</t>
        </is>
      </c>
      <c r="B161" s="10" t="inlineStr">
        <is>
          <t>Thai Super Guava</t>
        </is>
      </c>
      <c r="C161" s="11" t="n"/>
      <c r="D161" s="10" t="inlineStr">
        <is>
          <t>Exotic fruits</t>
        </is>
      </c>
      <c r="E161" s="11" t="inlineStr">
        <is>
          <t>Fruiting Trees</t>
        </is>
      </c>
      <c r="F161" s="11" t="inlineStr">
        <is>
          <t>Exotic</t>
        </is>
      </c>
      <c r="G161" s="11" t="inlineStr">
        <is>
          <t>Yes</t>
        </is>
      </c>
      <c r="H161" s="11" t="inlineStr">
        <is>
          <t>No</t>
        </is>
      </c>
      <c r="I161" s="10" t="inlineStr">
        <is>
          <t>Air layered</t>
        </is>
      </c>
      <c r="J161" s="11" t="n"/>
      <c r="K161" s="11" t="n"/>
      <c r="L161" s="11" t="n"/>
      <c r="M161" s="11" t="n"/>
      <c r="N161" s="11" t="n"/>
      <c r="O161" s="12" t="n">
        <v>320</v>
      </c>
      <c r="P161" s="12" t="n">
        <v>225</v>
      </c>
      <c r="Q161" s="12" t="n">
        <v>60</v>
      </c>
      <c r="R161" s="11" t="n"/>
      <c r="S161" s="13" t="n"/>
      <c r="T161" s="10" t="n">
        <v>0</v>
      </c>
      <c r="U161" s="11" t="n"/>
      <c r="V161" s="11" t="inlineStr">
        <is>
          <t>Out of Stock</t>
        </is>
      </c>
      <c r="W161" s="11" t="n"/>
      <c r="X161" s="11" t="n"/>
      <c r="Y161" s="10" t="n"/>
      <c r="Z161" s="10" t="n"/>
      <c r="AA161" s="14">
        <f>IF(AND(N(Y161)&gt;0,N(Z161)&gt;0),ROUND(43560/(Y161*Z161),0),"")</f>
        <v/>
      </c>
      <c r="AB161" s="10" t="n"/>
      <c r="AC161" s="10" t="inlineStr">
        <is>
          <t>Full sun</t>
        </is>
      </c>
      <c r="AD161" s="11" t="n"/>
      <c r="AE161" s="10" t="inlineStr">
        <is>
          <t>20°C to 40 °C</t>
        </is>
      </c>
      <c r="AF161" s="10" t="inlineStr">
        <is>
          <t>Medium sized tree</t>
        </is>
      </c>
      <c r="AG161" s="10" t="inlineStr">
        <is>
          <t>2 years</t>
        </is>
      </c>
      <c r="AH161" s="10" t="inlineStr">
        <is>
          <t>20Kgs to 40Kgs</t>
        </is>
      </c>
      <c r="AI161" s="10" t="inlineStr">
        <is>
          <t>Year round</t>
        </is>
      </c>
      <c r="AJ161" s="10" t="inlineStr">
        <is>
          <t>10gm to 30gm</t>
        </is>
      </c>
      <c r="AK161" s="11" t="n"/>
      <c r="AL161" s="11" t="n"/>
      <c r="AM161" s="11" t="n"/>
      <c r="AN161" s="11" t="n"/>
      <c r="AO161" s="11" t="n"/>
      <c r="AP161" s="11" t="n"/>
      <c r="AQ161" s="11" t="n"/>
      <c r="AR161" s="10" t="inlineStr">
        <is>
          <t>https://hasiruagro.com/wp-content/uploads/2023/08/Thai-Super-Guava-fruit-image-hasiruagro.jpg</t>
        </is>
      </c>
      <c r="AS161" s="11" t="n"/>
      <c r="AT161" s="11" t="n"/>
    </row>
    <row r="162">
      <c r="A162" s="10" t="inlineStr">
        <is>
          <t>HA00163</t>
        </is>
      </c>
      <c r="B162" s="10" t="inlineStr">
        <is>
          <t>Thai sweet tamarind</t>
        </is>
      </c>
      <c r="C162" s="11" t="n"/>
      <c r="D162" s="10" t="inlineStr">
        <is>
          <t>Exotic fruits</t>
        </is>
      </c>
      <c r="E162" s="11" t="inlineStr">
        <is>
          <t>Fruiting Trees</t>
        </is>
      </c>
      <c r="F162" s="11" t="inlineStr">
        <is>
          <t>Exotic</t>
        </is>
      </c>
      <c r="G162" s="11" t="inlineStr">
        <is>
          <t>Yes</t>
        </is>
      </c>
      <c r="H162" s="11" t="inlineStr">
        <is>
          <t>No</t>
        </is>
      </c>
      <c r="I162" s="10" t="inlineStr">
        <is>
          <t>Seeded</t>
        </is>
      </c>
      <c r="J162" s="11" t="n"/>
      <c r="K162" s="11" t="n"/>
      <c r="L162" s="11" t="n"/>
      <c r="M162" s="11" t="n"/>
      <c r="N162" s="11" t="n"/>
      <c r="O162" s="12" t="n">
        <v>440</v>
      </c>
      <c r="P162" s="12" t="n">
        <v>310</v>
      </c>
      <c r="Q162" s="12" t="n">
        <v>120</v>
      </c>
      <c r="R162" s="11" t="n"/>
      <c r="S162" s="13" t="n"/>
      <c r="T162" s="10" t="n">
        <v>96</v>
      </c>
      <c r="U162" s="11" t="n"/>
      <c r="V162" s="11" t="inlineStr">
        <is>
          <t>Available</t>
        </is>
      </c>
      <c r="W162" s="11" t="n"/>
      <c r="X162" s="11" t="n"/>
      <c r="Y162" s="10" t="n"/>
      <c r="Z162" s="10" t="n"/>
      <c r="AA162" s="14">
        <f>IF(AND(N(Y162)&gt;0,N(Z162)&gt;0),ROUND(43560/(Y162*Z162),0),"")</f>
        <v/>
      </c>
      <c r="AB162" s="10" t="n"/>
      <c r="AC162" s="10" t="inlineStr">
        <is>
          <t>Full sun</t>
        </is>
      </c>
      <c r="AD162" s="11" t="n"/>
      <c r="AE162" s="10" t="inlineStr">
        <is>
          <t>20°C to 40 °C</t>
        </is>
      </c>
      <c r="AF162" s="10" t="inlineStr">
        <is>
          <t>Medium to big tree</t>
        </is>
      </c>
      <c r="AG162" s="10" t="inlineStr">
        <is>
          <t>3 years</t>
        </is>
      </c>
      <c r="AH162" s="10" t="inlineStr">
        <is>
          <t>200Kgs to 300Kgs per tree</t>
        </is>
      </c>
      <c r="AI162" s="10" t="inlineStr">
        <is>
          <t>Throughout the year</t>
        </is>
      </c>
      <c r="AJ162" s="10" t="inlineStr">
        <is>
          <t>70gms to 100gms</t>
        </is>
      </c>
      <c r="AK162" s="11" t="n"/>
      <c r="AL162" s="11" t="n"/>
      <c r="AM162" s="11" t="n"/>
      <c r="AN162" s="11" t="n"/>
      <c r="AO162" s="11" t="n"/>
      <c r="AP162" s="11" t="n"/>
      <c r="AQ162" s="11" t="n"/>
      <c r="AR162" s="10" t="inlineStr">
        <is>
          <t>https://hasiruagro.com/wp-content/uploads/2023/08/Thai-sweet-tamarind-Fruit-image-Hasiruagro.jpg</t>
        </is>
      </c>
      <c r="AS162" s="11" t="n"/>
      <c r="AT162" s="11" t="n"/>
    </row>
    <row r="163">
      <c r="A163" s="10" t="inlineStr">
        <is>
          <t>HA00165</t>
        </is>
      </c>
      <c r="B163" s="10" t="inlineStr">
        <is>
          <t>Thailand new Jackfruit</t>
        </is>
      </c>
      <c r="C163" s="11" t="n"/>
      <c r="D163" s="10" t="inlineStr">
        <is>
          <t>Desi Fruits</t>
        </is>
      </c>
      <c r="E163" s="11" t="inlineStr">
        <is>
          <t>Fruiting Trees</t>
        </is>
      </c>
      <c r="F163" s="11" t="inlineStr">
        <is>
          <t>Desi</t>
        </is>
      </c>
      <c r="G163" s="11" t="inlineStr">
        <is>
          <t>Yes</t>
        </is>
      </c>
      <c r="H163" s="11" t="inlineStr">
        <is>
          <t>No</t>
        </is>
      </c>
      <c r="I163" s="10" t="inlineStr">
        <is>
          <t>Grafted</t>
        </is>
      </c>
      <c r="J163" s="11" t="n"/>
      <c r="K163" s="11" t="n"/>
      <c r="L163" s="11" t="n"/>
      <c r="M163" s="11" t="n"/>
      <c r="N163" s="11" t="n"/>
      <c r="O163" s="12" t="n">
        <v>1225</v>
      </c>
      <c r="P163" s="12" t="n">
        <v>490</v>
      </c>
      <c r="Q163" s="12" t="n">
        <v>260</v>
      </c>
      <c r="R163" s="11" t="n"/>
      <c r="S163" s="13" t="n"/>
      <c r="T163" s="10" t="n">
        <v>0</v>
      </c>
      <c r="U163" s="11" t="n"/>
      <c r="V163" s="11" t="inlineStr">
        <is>
          <t>Out of Stock</t>
        </is>
      </c>
      <c r="W163" s="11" t="n"/>
      <c r="X163" s="11" t="n"/>
      <c r="Y163" s="10" t="n">
        <v>20</v>
      </c>
      <c r="Z163" s="10" t="n">
        <v>20</v>
      </c>
      <c r="AA163" s="14">
        <f>IF(AND(N(Y163)&gt;0,N(Z163)&gt;0),ROUND(43560/(Y163*Z163),0),"")</f>
        <v/>
      </c>
      <c r="AB163" s="10" t="inlineStr">
        <is>
          <t>20ft x 20ft</t>
        </is>
      </c>
      <c r="AC163" s="10" t="inlineStr">
        <is>
          <t>Open sun</t>
        </is>
      </c>
      <c r="AD163" s="11" t="n"/>
      <c r="AE163" s="10" t="inlineStr">
        <is>
          <t>20°C to 40 °C</t>
        </is>
      </c>
      <c r="AF163" s="10" t="inlineStr">
        <is>
          <t>Big tree</t>
        </is>
      </c>
      <c r="AG163" s="10" t="inlineStr">
        <is>
          <t>2 years</t>
        </is>
      </c>
      <c r="AH163" s="10" t="inlineStr">
        <is>
          <t>150 to 200 fruits</t>
        </is>
      </c>
      <c r="AI163" s="10" t="inlineStr">
        <is>
          <t>July to December</t>
        </is>
      </c>
      <c r="AJ163" s="10" t="inlineStr">
        <is>
          <t>Medium to large (8-9 kg)</t>
        </is>
      </c>
      <c r="AK163" s="11" t="n"/>
      <c r="AL163" s="11" t="n"/>
      <c r="AM163" s="11" t="n"/>
      <c r="AN163" s="11" t="n"/>
      <c r="AO163" s="11" t="n"/>
      <c r="AP163" s="11" t="n"/>
      <c r="AQ163" s="11" t="n"/>
      <c r="AR163" s="10" t="inlineStr">
        <is>
          <t>https://hasiruagro.com/wp-content/uploads/2023/07/Thailand-new-Jackfruit-fruit-ima.webp</t>
        </is>
      </c>
      <c r="AS163" s="11" t="n"/>
      <c r="AT163" s="11" t="n"/>
    </row>
    <row r="164">
      <c r="A164" s="10" t="inlineStr">
        <is>
          <t>HA00166</t>
        </is>
      </c>
      <c r="B164" s="10" t="inlineStr">
        <is>
          <t>Totapuri Mango</t>
        </is>
      </c>
      <c r="C164" s="11" t="n"/>
      <c r="D164" s="10" t="inlineStr">
        <is>
          <t>Desi Fruits</t>
        </is>
      </c>
      <c r="E164" s="11" t="inlineStr">
        <is>
          <t>Fruiting Trees</t>
        </is>
      </c>
      <c r="F164" s="11" t="inlineStr">
        <is>
          <t>Desi</t>
        </is>
      </c>
      <c r="G164" s="11" t="inlineStr">
        <is>
          <t>Yes</t>
        </is>
      </c>
      <c r="H164" s="11" t="inlineStr">
        <is>
          <t>No</t>
        </is>
      </c>
      <c r="I164" s="10" t="inlineStr">
        <is>
          <t>Grafted</t>
        </is>
      </c>
      <c r="J164" s="11" t="n"/>
      <c r="K164" s="11" t="n"/>
      <c r="L164" s="11" t="n"/>
      <c r="M164" s="11" t="n"/>
      <c r="N164" s="11" t="n"/>
      <c r="O164" s="12" t="n">
        <v>700</v>
      </c>
      <c r="P164" s="12" t="n">
        <v>490</v>
      </c>
      <c r="Q164" s="12" t="n">
        <v>250</v>
      </c>
      <c r="R164" s="11" t="n"/>
      <c r="S164" s="13" t="n"/>
      <c r="T164" s="10" t="n">
        <v>0</v>
      </c>
      <c r="U164" s="11" t="n"/>
      <c r="V164" s="11" t="inlineStr">
        <is>
          <t>Out of Stock</t>
        </is>
      </c>
      <c r="W164" s="11" t="n"/>
      <c r="X164" s="11" t="n"/>
      <c r="Y164" s="10" t="n">
        <v>18</v>
      </c>
      <c r="Z164" s="10" t="n">
        <v>18</v>
      </c>
      <c r="AA164" s="14">
        <f>IF(AND(N(Y164)&gt;0,N(Z164)&gt;0),ROUND(43560/(Y164*Z164),0),"")</f>
        <v/>
      </c>
      <c r="AB164" s="10" t="inlineStr">
        <is>
          <t>18ft x 18ft</t>
        </is>
      </c>
      <c r="AC164" s="10" t="inlineStr">
        <is>
          <t>Open sun</t>
        </is>
      </c>
      <c r="AD164" s="11" t="n"/>
      <c r="AE164" s="10" t="inlineStr">
        <is>
          <t>20°C to 40 °C</t>
        </is>
      </c>
      <c r="AF164" s="10" t="inlineStr">
        <is>
          <t>Medium sized tree</t>
        </is>
      </c>
      <c r="AG164" s="10" t="inlineStr">
        <is>
          <t>2 years</t>
        </is>
      </c>
      <c r="AH164" s="10" t="inlineStr">
        <is>
          <t>300 to 500 fruits</t>
        </is>
      </c>
      <c r="AI164" s="10" t="inlineStr">
        <is>
          <t>April to August</t>
        </is>
      </c>
      <c r="AJ164" s="10" t="inlineStr">
        <is>
          <t>200gm to 250gm</t>
        </is>
      </c>
      <c r="AK164" s="11" t="n"/>
      <c r="AL164" s="11" t="n"/>
      <c r="AM164" s="11" t="n"/>
      <c r="AN164" s="11" t="n"/>
      <c r="AO164" s="11" t="n"/>
      <c r="AP164" s="11" t="n"/>
      <c r="AQ164" s="11" t="n"/>
      <c r="AR164" s="10" t="inlineStr">
        <is>
          <t>https://hasiruagro.com/wp-content/uploads/2023/07/totapuri-mango-fruit-fruit-image.webp</t>
        </is>
      </c>
      <c r="AS164" s="11" t="n"/>
      <c r="AT164" s="11" t="n"/>
    </row>
    <row r="165">
      <c r="A165" s="10" t="inlineStr">
        <is>
          <t>HA00167</t>
        </is>
      </c>
      <c r="B165" s="10" t="inlineStr">
        <is>
          <t>Varashree Jackfruit</t>
        </is>
      </c>
      <c r="C165" s="11" t="n"/>
      <c r="D165" s="10" t="inlineStr">
        <is>
          <t>Desi Fruits</t>
        </is>
      </c>
      <c r="E165" s="11" t="inlineStr">
        <is>
          <t>Fruiting Trees</t>
        </is>
      </c>
      <c r="F165" s="11" t="inlineStr">
        <is>
          <t>Desi</t>
        </is>
      </c>
      <c r="G165" s="11" t="inlineStr">
        <is>
          <t>Yes</t>
        </is>
      </c>
      <c r="H165" s="11" t="inlineStr">
        <is>
          <t>No</t>
        </is>
      </c>
      <c r="I165" s="10" t="inlineStr">
        <is>
          <t>Grafted</t>
        </is>
      </c>
      <c r="J165" s="11" t="n"/>
      <c r="K165" s="11" t="n"/>
      <c r="L165" s="11" t="n"/>
      <c r="M165" s="11" t="n"/>
      <c r="N165" s="11" t="n"/>
      <c r="O165" s="12" t="n">
        <v>1225</v>
      </c>
      <c r="P165" s="12" t="n">
        <v>490</v>
      </c>
      <c r="Q165" s="12" t="n">
        <v>260</v>
      </c>
      <c r="R165" s="11" t="n"/>
      <c r="S165" s="13" t="n"/>
      <c r="T165" s="10" t="n">
        <v>0</v>
      </c>
      <c r="U165" s="11" t="n"/>
      <c r="V165" s="11" t="inlineStr">
        <is>
          <t>Out of Stock</t>
        </is>
      </c>
      <c r="W165" s="11" t="n"/>
      <c r="X165" s="11" t="n"/>
      <c r="Y165" s="10" t="n">
        <v>20</v>
      </c>
      <c r="Z165" s="10" t="n">
        <v>20</v>
      </c>
      <c r="AA165" s="14">
        <f>IF(AND(N(Y165)&gt;0,N(Z165)&gt;0),ROUND(43560/(Y165*Z165),0),"")</f>
        <v/>
      </c>
      <c r="AB165" s="10" t="inlineStr">
        <is>
          <t>20ft x 20ft</t>
        </is>
      </c>
      <c r="AC165" s="10" t="inlineStr">
        <is>
          <t>Open sun</t>
        </is>
      </c>
      <c r="AD165" s="11" t="n"/>
      <c r="AE165" s="10" t="inlineStr">
        <is>
          <t>20°C to 40 °C</t>
        </is>
      </c>
      <c r="AF165" s="10" t="inlineStr">
        <is>
          <t>Big tree</t>
        </is>
      </c>
      <c r="AG165" s="10" t="inlineStr">
        <is>
          <t>2 years</t>
        </is>
      </c>
      <c r="AH165" s="10" t="inlineStr">
        <is>
          <t>150 to 200 fruits</t>
        </is>
      </c>
      <c r="AI165" s="10" t="inlineStr">
        <is>
          <t>July to December</t>
        </is>
      </c>
      <c r="AJ165" s="10" t="inlineStr">
        <is>
          <t>8 to 9 kg</t>
        </is>
      </c>
      <c r="AK165" s="11" t="n"/>
      <c r="AL165" s="11" t="n"/>
      <c r="AM165" s="11" t="n"/>
      <c r="AN165" s="11" t="n"/>
      <c r="AO165" s="11" t="n"/>
      <c r="AP165" s="11" t="n"/>
      <c r="AQ165" s="11" t="n"/>
      <c r="AR165" s="10" t="inlineStr">
        <is>
          <t>https://hasiruagro.com/wp-content/uploads/2023/07/Varashree-Jackfruit-fruit-image.webp</t>
        </is>
      </c>
      <c r="AS165" s="11" t="n"/>
      <c r="AT165" s="11" t="n"/>
    </row>
    <row r="166">
      <c r="A166" s="10" t="inlineStr">
        <is>
          <t>HA00168</t>
        </is>
      </c>
      <c r="B166" s="10" t="inlineStr">
        <is>
          <t>Variegated Guava</t>
        </is>
      </c>
      <c r="C166" s="11" t="n"/>
      <c r="D166" s="10" t="inlineStr">
        <is>
          <t>Exotic fruits</t>
        </is>
      </c>
      <c r="E166" s="11" t="inlineStr">
        <is>
          <t>Fruiting Trees</t>
        </is>
      </c>
      <c r="F166" s="11" t="inlineStr">
        <is>
          <t>Exotic</t>
        </is>
      </c>
      <c r="G166" s="11" t="inlineStr">
        <is>
          <t>Yes</t>
        </is>
      </c>
      <c r="H166" s="11" t="inlineStr">
        <is>
          <t>No</t>
        </is>
      </c>
      <c r="I166" s="10" t="inlineStr">
        <is>
          <t>Air layered</t>
        </is>
      </c>
      <c r="J166" s="11" t="n"/>
      <c r="K166" s="11" t="n"/>
      <c r="L166" s="11" t="n"/>
      <c r="M166" s="11" t="n"/>
      <c r="N166" s="11" t="n"/>
      <c r="O166" s="12" t="n">
        <v>440</v>
      </c>
      <c r="P166" s="12" t="n">
        <v>310</v>
      </c>
      <c r="Q166" s="12" t="n">
        <v>120</v>
      </c>
      <c r="R166" s="11" t="n"/>
      <c r="S166" s="13" t="n"/>
      <c r="T166" s="10" t="n">
        <v>32</v>
      </c>
      <c r="U166" s="11" t="n"/>
      <c r="V166" s="11" t="inlineStr">
        <is>
          <t>Available</t>
        </is>
      </c>
      <c r="W166" s="11" t="n"/>
      <c r="X166" s="11" t="n"/>
      <c r="Y166" s="10" t="n"/>
      <c r="Z166" s="10" t="n"/>
      <c r="AA166" s="14">
        <f>IF(AND(N(Y166)&gt;0,N(Z166)&gt;0),ROUND(43560/(Y166*Z166),0),"")</f>
        <v/>
      </c>
      <c r="AB166" s="10" t="n"/>
      <c r="AC166" s="10" t="inlineStr">
        <is>
          <t>Full sun</t>
        </is>
      </c>
      <c r="AD166" s="11" t="n"/>
      <c r="AE166" s="10" t="inlineStr">
        <is>
          <t>20°C to 40 °C</t>
        </is>
      </c>
      <c r="AF166" s="10" t="inlineStr">
        <is>
          <t>Small to medium sized tree</t>
        </is>
      </c>
      <c r="AG166" s="10" t="inlineStr">
        <is>
          <t>2 years</t>
        </is>
      </c>
      <c r="AH166" s="10" t="inlineStr">
        <is>
          <t>20Kgs to 40Kgs</t>
        </is>
      </c>
      <c r="AI166" s="10" t="inlineStr">
        <is>
          <t>Year round</t>
        </is>
      </c>
      <c r="AJ166" s="10" t="inlineStr">
        <is>
          <t>10gm to 30gm</t>
        </is>
      </c>
      <c r="AK166" s="11" t="n"/>
      <c r="AL166" s="11" t="n"/>
      <c r="AM166" s="11" t="n"/>
      <c r="AN166" s="11" t="n"/>
      <c r="AO166" s="11" t="n"/>
      <c r="AP166" s="11" t="n"/>
      <c r="AQ166" s="11" t="n"/>
      <c r="AR166" s="10" t="inlineStr">
        <is>
          <t>https://hasiruagro.com/wp-content/uploads/2023/08/Variegated-Guava-fruit-image-hasiruagro.jpg</t>
        </is>
      </c>
      <c r="AS166" s="11" t="n"/>
      <c r="AT166" s="11" t="n"/>
    </row>
    <row r="167">
      <c r="A167" s="10" t="inlineStr">
        <is>
          <t>HA00169</t>
        </is>
      </c>
      <c r="B167" s="10" t="inlineStr">
        <is>
          <t>Varigated lime</t>
        </is>
      </c>
      <c r="C167" s="11" t="n"/>
      <c r="D167" s="10" t="inlineStr">
        <is>
          <t>Exotic fruits</t>
        </is>
      </c>
      <c r="E167" s="11" t="inlineStr">
        <is>
          <t>Fruiting Trees</t>
        </is>
      </c>
      <c r="F167" s="11" t="inlineStr">
        <is>
          <t>Exotic</t>
        </is>
      </c>
      <c r="G167" s="11" t="inlineStr">
        <is>
          <t>Yes</t>
        </is>
      </c>
      <c r="H167" s="11" t="inlineStr">
        <is>
          <t>No</t>
        </is>
      </c>
      <c r="I167" s="10" t="inlineStr">
        <is>
          <t>Seeded</t>
        </is>
      </c>
      <c r="J167" s="11" t="n"/>
      <c r="K167" s="11" t="n"/>
      <c r="L167" s="11" t="n"/>
      <c r="M167" s="11" t="n"/>
      <c r="N167" s="11" t="n"/>
      <c r="O167" s="12" t="n">
        <v>520</v>
      </c>
      <c r="P167" s="12" t="n">
        <v>365</v>
      </c>
      <c r="Q167" s="12" t="n">
        <v>160</v>
      </c>
      <c r="R167" s="11" t="n"/>
      <c r="S167" s="13" t="n"/>
      <c r="T167" s="10" t="n">
        <v>0</v>
      </c>
      <c r="U167" s="11" t="n"/>
      <c r="V167" s="11" t="inlineStr">
        <is>
          <t>Out of Stock</t>
        </is>
      </c>
      <c r="W167" s="11" t="n"/>
      <c r="X167" s="11" t="n"/>
      <c r="Y167" s="10" t="n"/>
      <c r="Z167" s="10" t="n"/>
      <c r="AA167" s="14">
        <f>IF(AND(N(Y167)&gt;0,N(Z167)&gt;0),ROUND(43560/(Y167*Z167),0),"")</f>
        <v/>
      </c>
      <c r="AB167" s="10" t="n"/>
      <c r="AC167" s="10" t="inlineStr">
        <is>
          <t>Partial shade</t>
        </is>
      </c>
      <c r="AD167" s="11" t="n"/>
      <c r="AE167" s="10" t="inlineStr">
        <is>
          <t>20°C to 40 °C</t>
        </is>
      </c>
      <c r="AF167" s="10" t="inlineStr">
        <is>
          <t>Bush or small tree</t>
        </is>
      </c>
      <c r="AG167" s="10" t="inlineStr">
        <is>
          <t>2 years</t>
        </is>
      </c>
      <c r="AH167" s="10" t="inlineStr">
        <is>
          <t>1000 to 1500 lemons per tree</t>
        </is>
      </c>
      <c r="AI167" s="10" t="e">
        <v>#VALUE!</v>
      </c>
      <c r="AJ167" s="10" t="inlineStr">
        <is>
          <t>50gms</t>
        </is>
      </c>
      <c r="AK167" s="11" t="n"/>
      <c r="AL167" s="11" t="n"/>
      <c r="AM167" s="11" t="n"/>
      <c r="AN167" s="11" t="n"/>
      <c r="AO167" s="11" t="n"/>
      <c r="AP167" s="11" t="n"/>
      <c r="AQ167" s="11" t="n"/>
      <c r="AR167" s="10" t="inlineStr">
        <is>
          <t>https://hasiruagro.com/wp-content/uploads/2023/08/Varigated-lime-fruit-images.jpg</t>
        </is>
      </c>
      <c r="AS167" s="11" t="n"/>
      <c r="AT167" s="11" t="n"/>
    </row>
    <row r="168">
      <c r="A168" s="10" t="inlineStr">
        <is>
          <t>HA00170</t>
        </is>
      </c>
      <c r="B168" s="10" t="inlineStr">
        <is>
          <t>Variegated Mango</t>
        </is>
      </c>
      <c r="C168" s="11" t="n"/>
      <c r="D168" s="10" t="inlineStr">
        <is>
          <t>Exotic fruits</t>
        </is>
      </c>
      <c r="E168" s="11" t="inlineStr">
        <is>
          <t>Fruiting Trees</t>
        </is>
      </c>
      <c r="F168" s="11" t="inlineStr">
        <is>
          <t>Exotic</t>
        </is>
      </c>
      <c r="G168" s="11" t="inlineStr">
        <is>
          <t>Yes</t>
        </is>
      </c>
      <c r="H168" s="11" t="inlineStr">
        <is>
          <t>No</t>
        </is>
      </c>
      <c r="I168" s="10" t="inlineStr">
        <is>
          <t>Grafted</t>
        </is>
      </c>
      <c r="J168" s="11" t="n"/>
      <c r="K168" s="11" t="n"/>
      <c r="L168" s="11" t="n"/>
      <c r="M168" s="11" t="n"/>
      <c r="N168" s="11" t="n"/>
      <c r="O168" s="12" t="n">
        <v>1060</v>
      </c>
      <c r="P168" s="12" t="n">
        <v>740</v>
      </c>
      <c r="Q168" s="12" t="n">
        <v>350</v>
      </c>
      <c r="R168" s="11" t="n"/>
      <c r="S168" s="13" t="n"/>
      <c r="T168" s="10" t="n">
        <v>0</v>
      </c>
      <c r="U168" s="11" t="n"/>
      <c r="V168" s="11" t="inlineStr">
        <is>
          <t>Out of Stock</t>
        </is>
      </c>
      <c r="W168" s="11" t="n"/>
      <c r="X168" s="11" t="n"/>
      <c r="Y168" s="10" t="n"/>
      <c r="Z168" s="10" t="n"/>
      <c r="AA168" s="14">
        <f>IF(AND(N(Y168)&gt;0,N(Z168)&gt;0),ROUND(43560/(Y168*Z168),0),"")</f>
        <v/>
      </c>
      <c r="AB168" s="10" t="inlineStr">
        <is>
          <t>10-15 ft apart</t>
        </is>
      </c>
      <c r="AC168" s="10" t="inlineStr">
        <is>
          <t>Full sun</t>
        </is>
      </c>
      <c r="AD168" s="11" t="n"/>
      <c r="AE168" s="10" t="inlineStr">
        <is>
          <t>20°C to 40 °C</t>
        </is>
      </c>
      <c r="AF168" s="10" t="inlineStr">
        <is>
          <t>Medium to big tree</t>
        </is>
      </c>
      <c r="AG168" s="10" t="inlineStr">
        <is>
          <t>2 years</t>
        </is>
      </c>
      <c r="AH168" s="10" t="inlineStr">
        <is>
          <t>80Kgs to 100Kgs per tree</t>
        </is>
      </c>
      <c r="AI168" s="10" t="inlineStr">
        <is>
          <t>March to June</t>
        </is>
      </c>
      <c r="AJ168" s="10" t="inlineStr">
        <is>
          <t>150gms to 200gms</t>
        </is>
      </c>
      <c r="AK168" s="11" t="n"/>
      <c r="AL168" s="11" t="n"/>
      <c r="AM168" s="11" t="n"/>
      <c r="AN168" s="11" t="n"/>
      <c r="AO168" s="11" t="n"/>
      <c r="AP168" s="11" t="n"/>
      <c r="AQ168" s="11" t="n"/>
      <c r="AR168" s="10" t="inlineStr">
        <is>
          <t>https://hasiruagro.com/wp-content/uploads/2023/07/Variegated-Mango-Fruit-Hasiru-Ag.webp</t>
        </is>
      </c>
      <c r="AS168" s="11" t="n"/>
      <c r="AT168" s="11" t="n"/>
    </row>
    <row r="169">
      <c r="A169" s="10" t="inlineStr">
        <is>
          <t>HA00171</t>
        </is>
      </c>
      <c r="B169" s="10" t="inlineStr">
        <is>
          <t>Varigatd Mosumbie</t>
        </is>
      </c>
      <c r="C169" s="11" t="n"/>
      <c r="D169" s="10" t="inlineStr">
        <is>
          <t>Exotic fruits</t>
        </is>
      </c>
      <c r="E169" s="11" t="inlineStr">
        <is>
          <t>Fruiting Trees</t>
        </is>
      </c>
      <c r="F169" s="11" t="inlineStr">
        <is>
          <t>Exotic</t>
        </is>
      </c>
      <c r="G169" s="11" t="inlineStr">
        <is>
          <t>Yes</t>
        </is>
      </c>
      <c r="H169" s="11" t="inlineStr">
        <is>
          <t>No</t>
        </is>
      </c>
      <c r="I169" s="10" t="inlineStr">
        <is>
          <t>Grafted</t>
        </is>
      </c>
      <c r="J169" s="11" t="n"/>
      <c r="K169" s="11" t="n"/>
      <c r="L169" s="11" t="n"/>
      <c r="M169" s="11" t="n"/>
      <c r="N169" s="11" t="n"/>
      <c r="O169" s="12" t="n">
        <v>550</v>
      </c>
      <c r="P169" s="12" t="n">
        <v>385</v>
      </c>
      <c r="Q169" s="12" t="n">
        <v>175</v>
      </c>
      <c r="R169" s="11" t="n"/>
      <c r="S169" s="13" t="n"/>
      <c r="T169" s="10" t="n">
        <v>0</v>
      </c>
      <c r="U169" s="11" t="n"/>
      <c r="V169" s="11" t="inlineStr">
        <is>
          <t>Out of Stock</t>
        </is>
      </c>
      <c r="W169" s="11" t="n"/>
      <c r="X169" s="11" t="n"/>
      <c r="Y169" s="10" t="n"/>
      <c r="Z169" s="10" t="n"/>
      <c r="AA169" s="14">
        <f>IF(AND(N(Y169)&gt;0,N(Z169)&gt;0),ROUND(43560/(Y169*Z169),0),"")</f>
        <v/>
      </c>
      <c r="AB169" s="10" t="n"/>
      <c r="AC169" s="10" t="inlineStr">
        <is>
          <t>Full sun</t>
        </is>
      </c>
      <c r="AD169" s="11" t="n"/>
      <c r="AE169" s="10" t="inlineStr">
        <is>
          <t>20°C to 40 °C</t>
        </is>
      </c>
      <c r="AF169" s="10" t="inlineStr">
        <is>
          <t>Small tree</t>
        </is>
      </c>
      <c r="AG169" s="10" t="inlineStr">
        <is>
          <t>2 years</t>
        </is>
      </c>
      <c r="AH169" s="10" t="inlineStr">
        <is>
          <t>50Kgs to 70Kgs per tree</t>
        </is>
      </c>
      <c r="AI169" s="10" t="inlineStr">
        <is>
          <t>Alternative seasons</t>
        </is>
      </c>
      <c r="AJ169" s="10" t="inlineStr">
        <is>
          <t>150gms to 200gms</t>
        </is>
      </c>
      <c r="AK169" s="11" t="n"/>
      <c r="AL169" s="11" t="n"/>
      <c r="AM169" s="11" t="n"/>
      <c r="AN169" s="11" t="n"/>
      <c r="AO169" s="11" t="n"/>
      <c r="AP169" s="11" t="n"/>
      <c r="AQ169" s="11" t="n"/>
      <c r="AR169" s="10" t="inlineStr">
        <is>
          <t>https://hasiruagro.com/wp-content/uploads/2024/03/Varigated-Mosumbi-fruit-Hasiru-Agro.webp</t>
        </is>
      </c>
      <c r="AS169" s="11" t="n"/>
      <c r="AT169" s="11" t="n"/>
    </row>
    <row r="170">
      <c r="A170" s="10" t="inlineStr">
        <is>
          <t>HA00172</t>
        </is>
      </c>
      <c r="B170" s="10" t="inlineStr">
        <is>
          <t>Vatagar Jackfruit</t>
        </is>
      </c>
      <c r="C170" s="11" t="n"/>
      <c r="D170" s="10" t="inlineStr">
        <is>
          <t>Desi Fruits</t>
        </is>
      </c>
      <c r="E170" s="11" t="inlineStr">
        <is>
          <t>Fruiting Trees</t>
        </is>
      </c>
      <c r="F170" s="11" t="inlineStr">
        <is>
          <t>Desi</t>
        </is>
      </c>
      <c r="G170" s="11" t="inlineStr">
        <is>
          <t>Yes</t>
        </is>
      </c>
      <c r="H170" s="11" t="inlineStr">
        <is>
          <t>No</t>
        </is>
      </c>
      <c r="I170" s="10" t="inlineStr">
        <is>
          <t>Grafted</t>
        </is>
      </c>
      <c r="J170" s="11" t="n"/>
      <c r="K170" s="11" t="n"/>
      <c r="L170" s="11" t="n"/>
      <c r="M170" s="11" t="n"/>
      <c r="N170" s="11" t="n"/>
      <c r="O170" s="12" t="n">
        <v>1225</v>
      </c>
      <c r="P170" s="12" t="n">
        <v>490</v>
      </c>
      <c r="Q170" s="12" t="n">
        <v>260</v>
      </c>
      <c r="R170" s="11" t="n"/>
      <c r="S170" s="13" t="n"/>
      <c r="T170" s="10" t="n">
        <v>0</v>
      </c>
      <c r="U170" s="11" t="n"/>
      <c r="V170" s="11" t="inlineStr">
        <is>
          <t>Out of Stock</t>
        </is>
      </c>
      <c r="W170" s="11" t="n"/>
      <c r="X170" s="11" t="n"/>
      <c r="Y170" s="10" t="n">
        <v>20</v>
      </c>
      <c r="Z170" s="10" t="n">
        <v>20</v>
      </c>
      <c r="AA170" s="14">
        <f>IF(AND(N(Y170)&gt;0,N(Z170)&gt;0),ROUND(43560/(Y170*Z170),0),"")</f>
        <v/>
      </c>
      <c r="AB170" s="10" t="inlineStr">
        <is>
          <t>20ft x 20ft</t>
        </is>
      </c>
      <c r="AC170" s="10" t="inlineStr">
        <is>
          <t>Open sun</t>
        </is>
      </c>
      <c r="AD170" s="11" t="n"/>
      <c r="AE170" s="10" t="inlineStr">
        <is>
          <t>20°C to 40 °C</t>
        </is>
      </c>
      <c r="AF170" s="10" t="inlineStr">
        <is>
          <t>Big tree</t>
        </is>
      </c>
      <c r="AG170" s="10" t="inlineStr">
        <is>
          <t>2 years</t>
        </is>
      </c>
      <c r="AH170" s="10" t="inlineStr">
        <is>
          <t>150 to 200 fruits</t>
        </is>
      </c>
      <c r="AI170" s="10" t="inlineStr">
        <is>
          <t>July to December</t>
        </is>
      </c>
      <c r="AJ170" s="10" t="inlineStr">
        <is>
          <t>5 to 15 kg (depending on growing conditions)</t>
        </is>
      </c>
      <c r="AK170" s="11" t="n"/>
      <c r="AL170" s="11" t="n"/>
      <c r="AM170" s="11" t="n"/>
      <c r="AN170" s="11" t="n"/>
      <c r="AO170" s="11" t="n"/>
      <c r="AP170" s="11" t="n"/>
      <c r="AQ170" s="11" t="n"/>
      <c r="AR170" s="10" t="inlineStr">
        <is>
          <t>https://hasiruagro.com/wp-content/uploads/2023/07/Vatagar-Jackfruit-Fruit-image-Ha.webp</t>
        </is>
      </c>
      <c r="AS170" s="11" t="n"/>
      <c r="AT170" s="11" t="n"/>
    </row>
    <row r="171">
      <c r="A171" s="10" t="inlineStr">
        <is>
          <t>HA00173</t>
        </is>
      </c>
      <c r="B171" s="10" t="inlineStr">
        <is>
          <t>Varigated Chikku</t>
        </is>
      </c>
      <c r="C171" s="11" t="n"/>
      <c r="D171" s="10" t="inlineStr">
        <is>
          <t>Exotic fruits</t>
        </is>
      </c>
      <c r="E171" s="11" t="inlineStr">
        <is>
          <t>Fruiting Trees</t>
        </is>
      </c>
      <c r="F171" s="11" t="inlineStr">
        <is>
          <t>Exotic</t>
        </is>
      </c>
      <c r="G171" s="11" t="inlineStr">
        <is>
          <t>Yes</t>
        </is>
      </c>
      <c r="H171" s="11" t="inlineStr">
        <is>
          <t>No</t>
        </is>
      </c>
      <c r="I171" s="10" t="inlineStr">
        <is>
          <t>Grafted</t>
        </is>
      </c>
      <c r="J171" s="11" t="n"/>
      <c r="K171" s="11" t="n"/>
      <c r="L171" s="11" t="n"/>
      <c r="M171" s="11" t="n"/>
      <c r="N171" s="11" t="n"/>
      <c r="O171" s="12" t="n">
        <v>600</v>
      </c>
      <c r="P171" s="12" t="n">
        <v>420</v>
      </c>
      <c r="Q171" s="12" t="n">
        <v>200</v>
      </c>
      <c r="R171" s="11" t="n"/>
      <c r="S171" s="13" t="n"/>
      <c r="T171" s="10" t="n">
        <v>19</v>
      </c>
      <c r="U171" s="11" t="n"/>
      <c r="V171" s="11" t="inlineStr">
        <is>
          <t>Available</t>
        </is>
      </c>
      <c r="W171" s="11" t="n"/>
      <c r="X171" s="11" t="n"/>
      <c r="Y171" s="10" t="n"/>
      <c r="Z171" s="10" t="n"/>
      <c r="AA171" s="14">
        <f>IF(AND(N(Y171)&gt;0,N(Z171)&gt;0),ROUND(43560/(Y171*Z171),0),"")</f>
        <v/>
      </c>
      <c r="AB171" s="10" t="n"/>
      <c r="AC171" s="10" t="inlineStr">
        <is>
          <t>Partial sun or full sun</t>
        </is>
      </c>
      <c r="AD171" s="11" t="n"/>
      <c r="AE171" s="10" t="inlineStr">
        <is>
          <t>17°C to 38°C</t>
        </is>
      </c>
      <c r="AF171" s="10" t="inlineStr">
        <is>
          <t>Small to medium sized tree</t>
        </is>
      </c>
      <c r="AG171" s="10" t="inlineStr">
        <is>
          <t>3 years</t>
        </is>
      </c>
      <c r="AH171" s="10" t="inlineStr">
        <is>
          <t>250 to 500 fruits per tree</t>
        </is>
      </c>
      <c r="AI171" s="10" t="inlineStr">
        <is>
          <t>January to June</t>
        </is>
      </c>
      <c r="AJ171" s="10" t="inlineStr">
        <is>
          <t>100gms to 125gms</t>
        </is>
      </c>
      <c r="AK171" s="11" t="n"/>
      <c r="AL171" s="11" t="n"/>
      <c r="AM171" s="11" t="n"/>
      <c r="AN171" s="11" t="n"/>
      <c r="AO171" s="11" t="n"/>
      <c r="AP171" s="11" t="n"/>
      <c r="AQ171" s="11" t="n"/>
      <c r="AR171" s="10" t="inlineStr">
        <is>
          <t>https://hasiruagro.com/wp-content/uploads/2024/03/Variegated-Chikoo-Hasiru-Agro.webp</t>
        </is>
      </c>
      <c r="AS171" s="11" t="n"/>
      <c r="AT171" s="11" t="n"/>
    </row>
    <row r="172">
      <c r="A172" s="10" t="inlineStr">
        <is>
          <t>HA00174</t>
        </is>
      </c>
      <c r="B172" s="10" t="inlineStr">
        <is>
          <t>Vietnam Jackfruit All season Grafted</t>
        </is>
      </c>
      <c r="C172" s="11" t="n"/>
      <c r="D172" s="10" t="inlineStr">
        <is>
          <t>Desi Fruits</t>
        </is>
      </c>
      <c r="E172" s="11" t="inlineStr">
        <is>
          <t>Fruiting Trees</t>
        </is>
      </c>
      <c r="F172" s="11" t="inlineStr">
        <is>
          <t>Desi</t>
        </is>
      </c>
      <c r="G172" s="11" t="inlineStr">
        <is>
          <t>Yes</t>
        </is>
      </c>
      <c r="H172" s="11" t="inlineStr">
        <is>
          <t>No</t>
        </is>
      </c>
      <c r="I172" s="10" t="inlineStr">
        <is>
          <t>Grafted</t>
        </is>
      </c>
      <c r="J172" s="11" t="n"/>
      <c r="K172" s="11" t="n"/>
      <c r="L172" s="11" t="n"/>
      <c r="M172" s="11" t="n"/>
      <c r="N172" s="11" t="n"/>
      <c r="O172" s="12" t="n">
        <v>912</v>
      </c>
      <c r="P172" s="12" t="n">
        <v>365</v>
      </c>
      <c r="Q172" s="12" t="n">
        <v>200</v>
      </c>
      <c r="R172" s="11" t="n"/>
      <c r="S172" s="13" t="n"/>
      <c r="T172" s="10" t="n">
        <v>0</v>
      </c>
      <c r="U172" s="11" t="n"/>
      <c r="V172" s="11" t="inlineStr">
        <is>
          <t>Out of Stock</t>
        </is>
      </c>
      <c r="W172" s="11" t="n"/>
      <c r="X172" s="11" t="n"/>
      <c r="Y172" s="10" t="n">
        <v>20</v>
      </c>
      <c r="Z172" s="10" t="n">
        <v>20</v>
      </c>
      <c r="AA172" s="14">
        <f>IF(AND(N(Y172)&gt;0,N(Z172)&gt;0),ROUND(43560/(Y172*Z172),0),"")</f>
        <v/>
      </c>
      <c r="AB172" s="10" t="inlineStr">
        <is>
          <t>20ft x 20ft</t>
        </is>
      </c>
      <c r="AC172" s="10" t="inlineStr">
        <is>
          <t>Full sun</t>
        </is>
      </c>
      <c r="AD172" s="11" t="n"/>
      <c r="AE172" s="10" t="inlineStr">
        <is>
          <t>20°C to 40 °C</t>
        </is>
      </c>
      <c r="AF172" s="10" t="inlineStr">
        <is>
          <t>Medium sized tree</t>
        </is>
      </c>
      <c r="AG172" s="10" t="inlineStr">
        <is>
          <t>2 years</t>
        </is>
      </c>
      <c r="AH172" s="10" t="inlineStr">
        <is>
          <t>100Kgs to 120Kgs per tree</t>
        </is>
      </c>
      <c r="AI172" s="10" t="inlineStr">
        <is>
          <t>Year-round harvest</t>
        </is>
      </c>
      <c r="AJ172" s="10" t="inlineStr">
        <is>
          <t>5Kg-8Kg.</t>
        </is>
      </c>
      <c r="AK172" s="11" t="n"/>
      <c r="AL172" s="11" t="n"/>
      <c r="AM172" s="11" t="n"/>
      <c r="AN172" s="11" t="n"/>
      <c r="AO172" s="11" t="n"/>
      <c r="AP172" s="11" t="n"/>
      <c r="AQ172" s="11" t="n"/>
      <c r="AR172" s="10" t="inlineStr">
        <is>
          <t>https://hasiruagro.com/wp-content/uploads/2023/07/Vietnam-super-early-Jackfruit-Gr.webp</t>
        </is>
      </c>
      <c r="AS172" s="11" t="n"/>
      <c r="AT172" s="11" t="n"/>
    </row>
    <row r="173">
      <c r="A173" s="10" t="inlineStr">
        <is>
          <t>HA00175</t>
        </is>
      </c>
      <c r="B173" s="10" t="inlineStr">
        <is>
          <t>Vietnam Mosumbi (All season)</t>
        </is>
      </c>
      <c r="C173" s="11" t="n"/>
      <c r="D173" s="10" t="inlineStr">
        <is>
          <t>Desi Fruits</t>
        </is>
      </c>
      <c r="E173" s="11" t="inlineStr">
        <is>
          <t>Fruiting Trees</t>
        </is>
      </c>
      <c r="F173" s="11" t="inlineStr">
        <is>
          <t>Desi</t>
        </is>
      </c>
      <c r="G173" s="11" t="inlineStr">
        <is>
          <t>Yes</t>
        </is>
      </c>
      <c r="H173" s="11" t="inlineStr">
        <is>
          <t>No</t>
        </is>
      </c>
      <c r="I173" s="10" t="inlineStr">
        <is>
          <t>Grafted</t>
        </is>
      </c>
      <c r="J173" s="11" t="n"/>
      <c r="K173" s="11" t="n"/>
      <c r="L173" s="11" t="n"/>
      <c r="M173" s="11" t="n"/>
      <c r="N173" s="11" t="n"/>
      <c r="O173" s="12" t="n">
        <v>500</v>
      </c>
      <c r="P173" s="12" t="n">
        <v>350</v>
      </c>
      <c r="Q173" s="12" t="n">
        <v>180</v>
      </c>
      <c r="R173" s="11" t="n"/>
      <c r="S173" s="13" t="n"/>
      <c r="T173" s="10" t="n">
        <v>144</v>
      </c>
      <c r="U173" s="11" t="n"/>
      <c r="V173" s="11" t="inlineStr">
        <is>
          <t>Available</t>
        </is>
      </c>
      <c r="W173" s="11" t="n"/>
      <c r="X173" s="11" t="n"/>
      <c r="Y173" s="10" t="n">
        <v>18</v>
      </c>
      <c r="Z173" s="10" t="n">
        <v>18</v>
      </c>
      <c r="AA173" s="14">
        <f>IF(AND(N(Y173)&gt;0,N(Z173)&gt;0),ROUND(43560/(Y173*Z173),0),"")</f>
        <v/>
      </c>
      <c r="AB173" s="10" t="inlineStr">
        <is>
          <t>18ft x 18ft</t>
        </is>
      </c>
      <c r="AC173" s="10" t="inlineStr">
        <is>
          <t>Open sun</t>
        </is>
      </c>
      <c r="AD173" s="11" t="n"/>
      <c r="AE173" s="10" t="inlineStr">
        <is>
          <t>20°C to 40 °C</t>
        </is>
      </c>
      <c r="AF173" s="10" t="inlineStr">
        <is>
          <t>Medium sized tree</t>
        </is>
      </c>
      <c r="AG173" s="10" t="inlineStr">
        <is>
          <t>2 years</t>
        </is>
      </c>
      <c r="AH173" s="10" t="inlineStr">
        <is>
          <t>60Kg to 100Kg</t>
        </is>
      </c>
      <c r="AI173" s="10" t="inlineStr">
        <is>
          <t>April to MayAugust to September</t>
        </is>
      </c>
      <c r="AJ173" s="10" t="inlineStr">
        <is>
          <t>70 gm to 150gm</t>
        </is>
      </c>
      <c r="AK173" s="11" t="n"/>
      <c r="AL173" s="11" t="n"/>
      <c r="AM173" s="11" t="n"/>
      <c r="AN173" s="11" t="n"/>
      <c r="AO173" s="11" t="n"/>
      <c r="AP173" s="11" t="n"/>
      <c r="AQ173" s="11" t="n"/>
      <c r="AR173" s="10" t="inlineStr">
        <is>
          <t>https://hasiruagro.com/wp-content/uploads/2023/08/Vietnam-Mosumbi-All-season-Fruit-image-Hasiruagro.jpg</t>
        </is>
      </c>
      <c r="AS173" s="11" t="n"/>
      <c r="AT173" s="11" t="n"/>
    </row>
    <row r="174">
      <c r="A174" s="10" t="inlineStr">
        <is>
          <t>HA00176</t>
        </is>
      </c>
      <c r="B174" s="10" t="inlineStr">
        <is>
          <t>VNR Bihi Guava</t>
        </is>
      </c>
      <c r="C174" s="11" t="n"/>
      <c r="D174" s="10" t="inlineStr">
        <is>
          <t>Desi Fruits</t>
        </is>
      </c>
      <c r="E174" s="11" t="inlineStr">
        <is>
          <t>Fruiting Trees</t>
        </is>
      </c>
      <c r="F174" s="11" t="inlineStr">
        <is>
          <t>Desi</t>
        </is>
      </c>
      <c r="G174" s="11" t="inlineStr">
        <is>
          <t>Yes</t>
        </is>
      </c>
      <c r="H174" s="11" t="inlineStr">
        <is>
          <t>No</t>
        </is>
      </c>
      <c r="I174" s="10" t="inlineStr">
        <is>
          <t>Air layered</t>
        </is>
      </c>
      <c r="J174" s="11" t="n"/>
      <c r="K174" s="11" t="n"/>
      <c r="L174" s="11" t="n"/>
      <c r="M174" s="11" t="n"/>
      <c r="N174" s="11" t="n"/>
      <c r="O174" s="12" t="n">
        <v>350</v>
      </c>
      <c r="P174" s="12" t="n">
        <v>245</v>
      </c>
      <c r="Q174" s="12" t="n">
        <v>175</v>
      </c>
      <c r="R174" s="11" t="n"/>
      <c r="S174" s="13" t="n"/>
      <c r="T174" s="10" t="n">
        <v>0</v>
      </c>
      <c r="U174" s="11" t="n"/>
      <c r="V174" s="11" t="inlineStr">
        <is>
          <t>Out of Stock</t>
        </is>
      </c>
      <c r="W174" s="11" t="n"/>
      <c r="X174" s="11" t="n"/>
      <c r="Y174" s="10" t="n">
        <v>18</v>
      </c>
      <c r="Z174" s="10" t="n">
        <v>18</v>
      </c>
      <c r="AA174" s="14">
        <f>IF(AND(N(Y174)&gt;0,N(Z174)&gt;0),ROUND(43560/(Y174*Z174),0),"")</f>
        <v/>
      </c>
      <c r="AB174" s="10" t="inlineStr">
        <is>
          <t>18ft x 18ft</t>
        </is>
      </c>
      <c r="AC174" s="10" t="inlineStr">
        <is>
          <t>Full sun</t>
        </is>
      </c>
      <c r="AD174" s="11" t="n"/>
      <c r="AE174" s="10" t="inlineStr">
        <is>
          <t>20°C to 40 °C</t>
        </is>
      </c>
      <c r="AF174" s="10" t="inlineStr">
        <is>
          <t>Medium sized tree</t>
        </is>
      </c>
      <c r="AG174" s="10" t="inlineStr">
        <is>
          <t>2 years</t>
        </is>
      </c>
      <c r="AH174" s="10" t="inlineStr">
        <is>
          <t>30Kg to 70kg</t>
        </is>
      </c>
      <c r="AI174" s="10" t="inlineStr">
        <is>
          <t>Round the year</t>
        </is>
      </c>
      <c r="AJ174" s="10" t="inlineStr">
        <is>
          <t>150gms to 200gms</t>
        </is>
      </c>
      <c r="AK174" s="11" t="n"/>
      <c r="AL174" s="11" t="n"/>
      <c r="AM174" s="11" t="n"/>
      <c r="AN174" s="11" t="n"/>
      <c r="AO174" s="11" t="n"/>
      <c r="AP174" s="11" t="n"/>
      <c r="AQ174" s="11" t="n"/>
      <c r="AR174" s="10" t="inlineStr">
        <is>
          <t>https://hasiruagro.com/wp-content/uploads/2023/08/VNR-bihi-guava-fruit-image-Hasiruagro.jpg</t>
        </is>
      </c>
      <c r="AS174" s="11" t="n"/>
      <c r="AT174" s="11" t="n"/>
    </row>
    <row r="175">
      <c r="A175" s="10" t="inlineStr">
        <is>
          <t>HA00177</t>
        </is>
      </c>
      <c r="B175" s="10" t="inlineStr">
        <is>
          <t>Singapore Jackfruit</t>
        </is>
      </c>
      <c r="C175" s="11" t="n"/>
      <c r="D175" s="10" t="inlineStr">
        <is>
          <t>Desi Fruits</t>
        </is>
      </c>
      <c r="E175" s="11" t="inlineStr">
        <is>
          <t>Fruiting Trees</t>
        </is>
      </c>
      <c r="F175" s="11" t="inlineStr">
        <is>
          <t>Desi</t>
        </is>
      </c>
      <c r="G175" s="11" t="inlineStr">
        <is>
          <t>Yes</t>
        </is>
      </c>
      <c r="H175" s="11" t="inlineStr">
        <is>
          <t>No</t>
        </is>
      </c>
      <c r="I175" s="10" t="inlineStr">
        <is>
          <t>Grafted</t>
        </is>
      </c>
      <c r="J175" s="11" t="n"/>
      <c r="K175" s="11" t="n"/>
      <c r="L175" s="11" t="n"/>
      <c r="M175" s="11" t="n"/>
      <c r="N175" s="11" t="n"/>
      <c r="O175" s="12" t="n">
        <v>1225</v>
      </c>
      <c r="P175" s="12" t="n">
        <v>490</v>
      </c>
      <c r="Q175" s="12" t="n">
        <v>260</v>
      </c>
      <c r="R175" s="11" t="n"/>
      <c r="S175" s="13" t="n"/>
      <c r="T175" s="10" t="n">
        <v>0</v>
      </c>
      <c r="U175" s="11" t="n"/>
      <c r="V175" s="11" t="inlineStr">
        <is>
          <t>Out of Stock</t>
        </is>
      </c>
      <c r="W175" s="11" t="n"/>
      <c r="X175" s="11" t="n"/>
      <c r="Y175" s="10" t="n">
        <v>20</v>
      </c>
      <c r="Z175" s="10" t="n">
        <v>20</v>
      </c>
      <c r="AA175" s="14">
        <f>IF(AND(N(Y175)&gt;0,N(Z175)&gt;0),ROUND(43560/(Y175*Z175),0),"")</f>
        <v/>
      </c>
      <c r="AB175" s="10" t="inlineStr">
        <is>
          <t>20ft x 20ft</t>
        </is>
      </c>
      <c r="AC175" s="10" t="inlineStr">
        <is>
          <t>Open sun</t>
        </is>
      </c>
      <c r="AD175" s="11" t="n"/>
      <c r="AE175" s="10" t="inlineStr">
        <is>
          <t>20°C to 40 °C</t>
        </is>
      </c>
      <c r="AF175" s="10" t="inlineStr">
        <is>
          <t>Big tree</t>
        </is>
      </c>
      <c r="AG175" s="10" t="inlineStr">
        <is>
          <t>2 years</t>
        </is>
      </c>
      <c r="AH175" s="10" t="inlineStr">
        <is>
          <t>150 to 200 fruits</t>
        </is>
      </c>
      <c r="AI175" s="10" t="inlineStr">
        <is>
          <t>July to December</t>
        </is>
      </c>
      <c r="AJ175" s="10" t="inlineStr">
        <is>
          <t>Medium to large (10 to 30 kg)</t>
        </is>
      </c>
      <c r="AK175" s="11" t="n"/>
      <c r="AL175" s="11" t="n"/>
      <c r="AM175" s="11" t="n"/>
      <c r="AN175" s="11" t="n"/>
      <c r="AO175" s="11" t="n"/>
      <c r="AP175" s="11" t="n"/>
      <c r="AQ175" s="11" t="n"/>
      <c r="AR175" s="10" t="inlineStr">
        <is>
          <t>https://hasiruagro.com/wp-content/uploads/2023/07/WADI-Jackfruit-fruit-image-Hasir.webp</t>
        </is>
      </c>
      <c r="AS175" s="11" t="n"/>
      <c r="AT175" s="11" t="n"/>
    </row>
    <row r="176">
      <c r="A176" s="10" t="inlineStr">
        <is>
          <t>HA00178</t>
        </is>
      </c>
      <c r="B176" s="10" t="inlineStr">
        <is>
          <t>Pink Cherry Water Apple</t>
        </is>
      </c>
      <c r="C176" s="11" t="n"/>
      <c r="D176" s="10" t="inlineStr">
        <is>
          <t>Exotic fruits</t>
        </is>
      </c>
      <c r="E176" s="11" t="inlineStr">
        <is>
          <t>Fruiting Trees</t>
        </is>
      </c>
      <c r="F176" s="11" t="inlineStr">
        <is>
          <t>Exotic</t>
        </is>
      </c>
      <c r="G176" s="11" t="inlineStr">
        <is>
          <t>Yes</t>
        </is>
      </c>
      <c r="H176" s="11" t="inlineStr">
        <is>
          <t>No</t>
        </is>
      </c>
      <c r="I176" s="10" t="inlineStr">
        <is>
          <t>Seeded</t>
        </is>
      </c>
      <c r="J176" s="11" t="n"/>
      <c r="K176" s="11" t="n"/>
      <c r="L176" s="11" t="n"/>
      <c r="M176" s="11" t="n"/>
      <c r="N176" s="11" t="n"/>
      <c r="O176" s="12" t="n">
        <v>600</v>
      </c>
      <c r="P176" s="12" t="n">
        <v>420</v>
      </c>
      <c r="Q176" s="12" t="n">
        <v>180</v>
      </c>
      <c r="R176" s="11" t="n"/>
      <c r="S176" s="13" t="n"/>
      <c r="T176" s="10" t="n">
        <v>0</v>
      </c>
      <c r="U176" s="11" t="n"/>
      <c r="V176" s="11" t="inlineStr">
        <is>
          <t>Out of Stock</t>
        </is>
      </c>
      <c r="W176" s="11" t="n"/>
      <c r="X176" s="11" t="n"/>
      <c r="Y176" s="10" t="n"/>
      <c r="Z176" s="10" t="n"/>
      <c r="AA176" s="14">
        <f>IF(AND(N(Y176)&gt;0,N(Z176)&gt;0),ROUND(43560/(Y176*Z176),0),"")</f>
        <v/>
      </c>
      <c r="AB176" s="10" t="n"/>
      <c r="AC176" s="10" t="inlineStr">
        <is>
          <t>Full sun</t>
        </is>
      </c>
      <c r="AD176" s="11" t="n"/>
      <c r="AE176" s="10" t="inlineStr">
        <is>
          <t>20°C to 40 °C</t>
        </is>
      </c>
      <c r="AF176" s="10" t="inlineStr">
        <is>
          <t>Medium tree</t>
        </is>
      </c>
      <c r="AG176" s="10" t="inlineStr">
        <is>
          <t>3 years</t>
        </is>
      </c>
      <c r="AH176" s="10" t="inlineStr">
        <is>
          <t>50Kgs to 70Kgs per tree</t>
        </is>
      </c>
      <c r="AI176" s="10" t="inlineStr">
        <is>
          <t>August to November</t>
        </is>
      </c>
      <c r="AJ176" s="10" t="inlineStr">
        <is>
          <t>50gms to 70gms</t>
        </is>
      </c>
      <c r="AK176" s="11" t="n"/>
      <c r="AL176" s="11" t="n"/>
      <c r="AM176" s="11" t="n"/>
      <c r="AN176" s="11" t="n"/>
      <c r="AO176" s="11" t="n"/>
      <c r="AP176" s="11" t="n"/>
      <c r="AQ176" s="11" t="n"/>
      <c r="AR176" s="10" t="inlineStr">
        <is>
          <t>https://hasiruagro.com/wp-content/uploads/2023/08/Water-Apple-Cherry-fruit-image-Hasiruagro.jpg</t>
        </is>
      </c>
      <c r="AS176" s="11" t="n"/>
      <c r="AT176" s="11" t="n"/>
    </row>
    <row r="177">
      <c r="A177" s="10" t="inlineStr">
        <is>
          <t>HA00179</t>
        </is>
      </c>
      <c r="B177" s="10" t="inlineStr">
        <is>
          <t>Water Apple Red</t>
        </is>
      </c>
      <c r="C177" s="11" t="n"/>
      <c r="D177" s="10" t="inlineStr">
        <is>
          <t>Exotic fruits</t>
        </is>
      </c>
      <c r="E177" s="11" t="inlineStr">
        <is>
          <t>Fruiting Trees</t>
        </is>
      </c>
      <c r="F177" s="11" t="inlineStr">
        <is>
          <t>Exotic</t>
        </is>
      </c>
      <c r="G177" s="11" t="inlineStr">
        <is>
          <t>Yes</t>
        </is>
      </c>
      <c r="H177" s="11" t="inlineStr">
        <is>
          <t>No</t>
        </is>
      </c>
      <c r="I177" s="10" t="inlineStr">
        <is>
          <t>Seeded</t>
        </is>
      </c>
      <c r="J177" s="11" t="n"/>
      <c r="K177" s="11" t="n"/>
      <c r="L177" s="11" t="n"/>
      <c r="M177" s="11" t="n"/>
      <c r="N177" s="11" t="n"/>
      <c r="O177" s="12" t="n">
        <v>440</v>
      </c>
      <c r="P177" s="12" t="n">
        <v>310</v>
      </c>
      <c r="Q177" s="12" t="n">
        <v>120</v>
      </c>
      <c r="R177" s="11" t="n"/>
      <c r="S177" s="13" t="n"/>
      <c r="T177" s="10" t="n">
        <v>0</v>
      </c>
      <c r="U177" s="11" t="n"/>
      <c r="V177" s="11" t="inlineStr">
        <is>
          <t>Out of Stock</t>
        </is>
      </c>
      <c r="W177" s="11" t="n"/>
      <c r="X177" s="11" t="n"/>
      <c r="Y177" s="10" t="n"/>
      <c r="Z177" s="10" t="n"/>
      <c r="AA177" s="14">
        <f>IF(AND(N(Y177)&gt;0,N(Z177)&gt;0),ROUND(43560/(Y177*Z177),0),"")</f>
        <v/>
      </c>
      <c r="AB177" s="10" t="n"/>
      <c r="AC177" s="10" t="inlineStr">
        <is>
          <t>Full sun</t>
        </is>
      </c>
      <c r="AD177" s="11" t="n"/>
      <c r="AE177" s="10" t="inlineStr">
        <is>
          <t>20°C to 40 °C</t>
        </is>
      </c>
      <c r="AF177" s="10" t="inlineStr">
        <is>
          <t>Medium tree</t>
        </is>
      </c>
      <c r="AG177" s="10" t="inlineStr">
        <is>
          <t>3 years</t>
        </is>
      </c>
      <c r="AH177" s="10" t="inlineStr">
        <is>
          <t>50Kgs to 70Kgs per tree</t>
        </is>
      </c>
      <c r="AI177" s="10" t="inlineStr">
        <is>
          <t>August to November</t>
        </is>
      </c>
      <c r="AJ177" s="10" t="inlineStr">
        <is>
          <t>50gms to 70gms</t>
        </is>
      </c>
      <c r="AK177" s="11" t="n"/>
      <c r="AL177" s="11" t="n"/>
      <c r="AM177" s="11" t="n"/>
      <c r="AN177" s="11" t="n"/>
      <c r="AO177" s="11" t="n"/>
      <c r="AP177" s="11" t="n"/>
      <c r="AQ177" s="11" t="n"/>
      <c r="AR177" s="10" t="inlineStr">
        <is>
          <t>https://hasiruagro.com/wp-content/uploads/2023/08/WaterApple-Red-F.jpg</t>
        </is>
      </c>
      <c r="AS177" s="11" t="n"/>
      <c r="AT177" s="11" t="n"/>
    </row>
    <row r="178">
      <c r="A178" s="10" t="inlineStr">
        <is>
          <t>HA00180</t>
        </is>
      </c>
      <c r="B178" s="10" t="inlineStr">
        <is>
          <t>Water apple White</t>
        </is>
      </c>
      <c r="C178" s="11" t="n"/>
      <c r="D178" s="10" t="inlineStr">
        <is>
          <t>Exotic fruits</t>
        </is>
      </c>
      <c r="E178" s="11" t="inlineStr">
        <is>
          <t>Fruiting Trees</t>
        </is>
      </c>
      <c r="F178" s="11" t="inlineStr">
        <is>
          <t>Exotic</t>
        </is>
      </c>
      <c r="G178" s="11" t="inlineStr">
        <is>
          <t>Yes</t>
        </is>
      </c>
      <c r="H178" s="11" t="inlineStr">
        <is>
          <t>No</t>
        </is>
      </c>
      <c r="I178" s="10" t="inlineStr">
        <is>
          <t>Seeded</t>
        </is>
      </c>
      <c r="J178" s="11" t="n"/>
      <c r="K178" s="11" t="n"/>
      <c r="L178" s="11" t="n"/>
      <c r="M178" s="11" t="n"/>
      <c r="N178" s="11" t="n"/>
      <c r="O178" s="12" t="n">
        <v>440</v>
      </c>
      <c r="P178" s="12" t="n">
        <v>310</v>
      </c>
      <c r="Q178" s="12" t="n">
        <v>120</v>
      </c>
      <c r="R178" s="11" t="n"/>
      <c r="S178" s="13" t="n"/>
      <c r="T178" s="10" t="n">
        <v>0</v>
      </c>
      <c r="U178" s="11" t="n"/>
      <c r="V178" s="11" t="inlineStr">
        <is>
          <t>Out of Stock</t>
        </is>
      </c>
      <c r="W178" s="11" t="n"/>
      <c r="X178" s="11" t="n"/>
      <c r="Y178" s="10" t="n"/>
      <c r="Z178" s="10" t="n"/>
      <c r="AA178" s="14">
        <f>IF(AND(N(Y178)&gt;0,N(Z178)&gt;0),ROUND(43560/(Y178*Z178),0),"")</f>
        <v/>
      </c>
      <c r="AB178" s="10" t="n"/>
      <c r="AC178" s="10" t="inlineStr">
        <is>
          <t>Full sun</t>
        </is>
      </c>
      <c r="AD178" s="11" t="n"/>
      <c r="AE178" s="10" t="inlineStr">
        <is>
          <t>20°C to 40 °C</t>
        </is>
      </c>
      <c r="AF178" s="10" t="inlineStr">
        <is>
          <t>Medium tree</t>
        </is>
      </c>
      <c r="AG178" s="10" t="inlineStr">
        <is>
          <t>3 years</t>
        </is>
      </c>
      <c r="AH178" s="10" t="inlineStr">
        <is>
          <t>50Kgs to 70Kgs per tree</t>
        </is>
      </c>
      <c r="AI178" s="10" t="inlineStr">
        <is>
          <t>August to November</t>
        </is>
      </c>
      <c r="AJ178" s="10" t="inlineStr">
        <is>
          <t>50gms to 70gms</t>
        </is>
      </c>
      <c r="AK178" s="11" t="n"/>
      <c r="AL178" s="11" t="n"/>
      <c r="AM178" s="11" t="n"/>
      <c r="AN178" s="11" t="n"/>
      <c r="AO178" s="11" t="n"/>
      <c r="AP178" s="11" t="n"/>
      <c r="AQ178" s="11" t="n"/>
      <c r="AR178" s="10" t="inlineStr">
        <is>
          <t>https://hasiruagro.com/wp-content/uploads/2023/08/white-water-apple-fruit-fruit-image-Hasiruagro.jpg</t>
        </is>
      </c>
      <c r="AS178" s="11" t="n"/>
      <c r="AT178" s="11" t="n"/>
    </row>
    <row r="179">
      <c r="A179" s="10" t="inlineStr">
        <is>
          <t>HA00181</t>
        </is>
      </c>
      <c r="B179" s="10" t="inlineStr">
        <is>
          <t>Sandalwood (Chandan)</t>
        </is>
      </c>
      <c r="C179" s="11" t="n"/>
      <c r="D179" s="10" t="inlineStr">
        <is>
          <t>Forestry</t>
        </is>
      </c>
      <c r="E179" s="11" t="inlineStr">
        <is>
          <t>Timber Trees</t>
        </is>
      </c>
      <c r="F179" s="11" t="n"/>
      <c r="G179" s="11" t="inlineStr">
        <is>
          <t>Yes</t>
        </is>
      </c>
      <c r="H179" s="11" t="inlineStr">
        <is>
          <t>No</t>
        </is>
      </c>
      <c r="I179" s="10" t="inlineStr">
        <is>
          <t>Seeded</t>
        </is>
      </c>
      <c r="J179" s="11" t="n"/>
      <c r="K179" s="11" t="n"/>
      <c r="L179" s="11" t="n"/>
      <c r="M179" s="11" t="n"/>
      <c r="N179" s="11" t="n"/>
      <c r="O179" s="12" t="n">
        <v>380</v>
      </c>
      <c r="P179" s="12" t="n">
        <v>265</v>
      </c>
      <c r="Q179" s="12" t="n">
        <v>60</v>
      </c>
      <c r="R179" s="11" t="n"/>
      <c r="S179" s="13" t="n"/>
      <c r="T179" s="10" t="n">
        <v>3998</v>
      </c>
      <c r="U179" s="11" t="n"/>
      <c r="V179" s="11" t="inlineStr">
        <is>
          <t>Available</t>
        </is>
      </c>
      <c r="W179" s="11" t="n"/>
      <c r="X179" s="11" t="n"/>
      <c r="Y179" s="10" t="n">
        <v>15</v>
      </c>
      <c r="Z179" s="10" t="n">
        <v>15</v>
      </c>
      <c r="AA179" s="14">
        <f>IF(AND(N(Y179)&gt;0,N(Z179)&gt;0),ROUND(43560/(Y179*Z179),0),"")</f>
        <v/>
      </c>
      <c r="AB179" s="10" t="inlineStr">
        <is>
          <t>15ft x 15ft</t>
        </is>
      </c>
      <c r="AC179" s="10" t="inlineStr">
        <is>
          <t>Full sun</t>
        </is>
      </c>
      <c r="AD179" s="11" t="n"/>
      <c r="AE179" s="10" t="inlineStr">
        <is>
          <t>20°C to 40°C</t>
        </is>
      </c>
      <c r="AF179" s="10" t="inlineStr">
        <is>
          <t>20ft to 30 ft tall</t>
        </is>
      </c>
      <c r="AG179" s="10" t="inlineStr">
        <is>
          <t>15 years</t>
        </is>
      </c>
      <c r="AH179" s="10" t="inlineStr">
        <is>
          <t>15Kgs to 25Kgs of heartwood</t>
        </is>
      </c>
      <c r="AI179" s="10" t="n"/>
      <c r="AJ179" s="10" t="n"/>
      <c r="AK179" s="11" t="n"/>
      <c r="AL179" s="11" t="n"/>
      <c r="AM179" s="11" t="n"/>
      <c r="AN179" s="11" t="n"/>
      <c r="AO179" s="11" t="n"/>
      <c r="AP179" s="11" t="n"/>
      <c r="AQ179" s="11" t="n"/>
      <c r="AR179" s="10" t="inlineStr">
        <is>
          <t>https://hasiruagro.com/wp-content/uploads/2023/08/Sandalwood-F.jpg</t>
        </is>
      </c>
      <c r="AS179" s="11" t="n"/>
      <c r="AT179" s="11" t="n"/>
    </row>
    <row r="180">
      <c r="A180" s="10" t="inlineStr">
        <is>
          <t>HA00182</t>
        </is>
      </c>
      <c r="B180" s="10" t="inlineStr">
        <is>
          <t>Yellow Chakota/Pomelo</t>
        </is>
      </c>
      <c r="C180" s="11" t="n"/>
      <c r="D180" s="10" t="inlineStr">
        <is>
          <t>Desi Fruits</t>
        </is>
      </c>
      <c r="E180" s="11" t="inlineStr">
        <is>
          <t>Fruiting Trees</t>
        </is>
      </c>
      <c r="F180" s="11" t="inlineStr">
        <is>
          <t>Desi</t>
        </is>
      </c>
      <c r="G180" s="11" t="inlineStr">
        <is>
          <t>Yes</t>
        </is>
      </c>
      <c r="H180" s="11" t="inlineStr">
        <is>
          <t>No</t>
        </is>
      </c>
      <c r="I180" s="10" t="inlineStr">
        <is>
          <t>Grafted</t>
        </is>
      </c>
      <c r="J180" s="11" t="n"/>
      <c r="K180" s="11" t="n"/>
      <c r="L180" s="11" t="n"/>
      <c r="M180" s="11" t="n"/>
      <c r="N180" s="11" t="n"/>
      <c r="O180" s="12" t="n">
        <v>900</v>
      </c>
      <c r="P180" s="12" t="n">
        <v>630</v>
      </c>
      <c r="Q180" s="12" t="n">
        <v>200</v>
      </c>
      <c r="R180" s="11" t="n"/>
      <c r="S180" s="13" t="n"/>
      <c r="T180" s="10" t="n">
        <v>39</v>
      </c>
      <c r="U180" s="11" t="n"/>
      <c r="V180" s="11" t="inlineStr">
        <is>
          <t>Available</t>
        </is>
      </c>
      <c r="W180" s="11" t="n"/>
      <c r="X180" s="11" t="n"/>
      <c r="Y180" s="10" t="n">
        <v>18</v>
      </c>
      <c r="Z180" s="10" t="n">
        <v>18</v>
      </c>
      <c r="AA180" s="14">
        <f>IF(AND(N(Y180)&gt;0,N(Z180)&gt;0),ROUND(43560/(Y180*Z180),0),"")</f>
        <v/>
      </c>
      <c r="AB180" s="10" t="inlineStr">
        <is>
          <t>18ft x 18ft</t>
        </is>
      </c>
      <c r="AC180" s="10" t="inlineStr">
        <is>
          <t>Open sun</t>
        </is>
      </c>
      <c r="AD180" s="11" t="n"/>
      <c r="AE180" s="10" t="inlineStr">
        <is>
          <t>15°C to 35 °C</t>
        </is>
      </c>
      <c r="AF180" s="10" t="inlineStr">
        <is>
          <t>Medium sized tree</t>
        </is>
      </c>
      <c r="AG180" s="10" t="inlineStr">
        <is>
          <t>2 years</t>
        </is>
      </c>
      <c r="AH180" s="10" t="inlineStr">
        <is>
          <t>300 to 500 fruits</t>
        </is>
      </c>
      <c r="AI180" s="10" t="inlineStr">
        <is>
          <t>September to February</t>
        </is>
      </c>
      <c r="AJ180" s="10" t="inlineStr">
        <is>
          <t>0.5Kg to 2Kgs</t>
        </is>
      </c>
      <c r="AK180" s="11" t="n"/>
      <c r="AL180" s="11" t="n"/>
      <c r="AM180" s="11" t="n"/>
      <c r="AN180" s="11" t="n"/>
      <c r="AO180" s="11" t="n"/>
      <c r="AP180" s="11" t="n"/>
      <c r="AQ180" s="11" t="n"/>
      <c r="AR180" s="10" t="inlineStr">
        <is>
          <t>https://hasiruagro.com/wp-content/uploads/2023/08/Yellow-Chakota_PomeloFruit-image-Hasiruagro.jpg</t>
        </is>
      </c>
      <c r="AS180" s="11" t="n"/>
      <c r="AT180" s="11" t="n"/>
    </row>
    <row r="181">
      <c r="A181" s="10" t="inlineStr">
        <is>
          <t>HA00183</t>
        </is>
      </c>
      <c r="B181" s="10" t="inlineStr">
        <is>
          <t>Yellow rudrakshi Jackfruit</t>
        </is>
      </c>
      <c r="C181" s="11" t="n"/>
      <c r="D181" s="10" t="inlineStr">
        <is>
          <t>Desi Fruits</t>
        </is>
      </c>
      <c r="E181" s="11" t="inlineStr">
        <is>
          <t>Fruiting Trees</t>
        </is>
      </c>
      <c r="F181" s="11" t="inlineStr">
        <is>
          <t>Desi</t>
        </is>
      </c>
      <c r="G181" s="11" t="inlineStr">
        <is>
          <t>Yes</t>
        </is>
      </c>
      <c r="H181" s="11" t="inlineStr">
        <is>
          <t>No</t>
        </is>
      </c>
      <c r="I181" s="10" t="inlineStr">
        <is>
          <t>Grafted</t>
        </is>
      </c>
      <c r="J181" s="11" t="n"/>
      <c r="K181" s="11" t="n"/>
      <c r="L181" s="11" t="n"/>
      <c r="M181" s="11" t="n"/>
      <c r="N181" s="11" t="n"/>
      <c r="O181" s="12" t="n">
        <v>1225</v>
      </c>
      <c r="P181" s="12" t="n">
        <v>490</v>
      </c>
      <c r="Q181" s="12" t="n">
        <v>260</v>
      </c>
      <c r="R181" s="11" t="n"/>
      <c r="S181" s="13" t="n"/>
      <c r="T181" s="10" t="n">
        <v>0</v>
      </c>
      <c r="U181" s="11" t="n"/>
      <c r="V181" s="11" t="inlineStr">
        <is>
          <t>Out of Stock</t>
        </is>
      </c>
      <c r="W181" s="11" t="n"/>
      <c r="X181" s="11" t="n"/>
      <c r="Y181" s="10" t="n">
        <v>20</v>
      </c>
      <c r="Z181" s="10" t="n">
        <v>20</v>
      </c>
      <c r="AA181" s="14">
        <f>IF(AND(N(Y181)&gt;0,N(Z181)&gt;0),ROUND(43560/(Y181*Z181),0),"")</f>
        <v/>
      </c>
      <c r="AB181" s="10" t="inlineStr">
        <is>
          <t>20ft x 20ft</t>
        </is>
      </c>
      <c r="AC181" s="10" t="inlineStr">
        <is>
          <t>Open sun</t>
        </is>
      </c>
      <c r="AD181" s="11" t="n"/>
      <c r="AE181" s="10" t="inlineStr">
        <is>
          <t>20°C to 40 °C</t>
        </is>
      </c>
      <c r="AF181" s="10" t="inlineStr">
        <is>
          <t>Big tree</t>
        </is>
      </c>
      <c r="AG181" s="10" t="inlineStr">
        <is>
          <t>2 years</t>
        </is>
      </c>
      <c r="AH181" s="10" t="inlineStr">
        <is>
          <t>80Kg to 100Kg</t>
        </is>
      </c>
      <c r="AI181" s="10" t="inlineStr">
        <is>
          <t>July to December</t>
        </is>
      </c>
      <c r="AJ181" s="10" t="inlineStr">
        <is>
          <t>3-4 kg per fruit</t>
        </is>
      </c>
      <c r="AK181" s="11" t="n"/>
      <c r="AL181" s="11" t="n"/>
      <c r="AM181" s="11" t="n"/>
      <c r="AN181" s="11" t="n"/>
      <c r="AO181" s="11" t="n"/>
      <c r="AP181" s="11" t="n"/>
      <c r="AQ181" s="11" t="n"/>
      <c r="AR181" s="10" t="inlineStr">
        <is>
          <t>https://hasiruagro.com/wp-content/uploads/2023/07/Yellow-rudrakshi-Jackfruit.webp</t>
        </is>
      </c>
      <c r="AS181" s="11" t="n"/>
      <c r="AT181" s="11" t="n"/>
    </row>
    <row r="182">
      <c r="A182" s="10" t="inlineStr">
        <is>
          <t>HA00184</t>
        </is>
      </c>
      <c r="B182" s="10" t="inlineStr">
        <is>
          <t>Sweet Mini Orange plant (4ft)</t>
        </is>
      </c>
      <c r="C182" s="11" t="n"/>
      <c r="D182" s="10" t="inlineStr">
        <is>
          <t>Exotic fruits</t>
        </is>
      </c>
      <c r="E182" s="11" t="inlineStr">
        <is>
          <t>Fruiting Trees</t>
        </is>
      </c>
      <c r="F182" s="11" t="inlineStr">
        <is>
          <t>Exotic</t>
        </is>
      </c>
      <c r="G182" s="11" t="inlineStr">
        <is>
          <t>Yes</t>
        </is>
      </c>
      <c r="H182" s="11" t="inlineStr">
        <is>
          <t>No</t>
        </is>
      </c>
      <c r="I182" s="10" t="inlineStr">
        <is>
          <t>Citrus Dwarf</t>
        </is>
      </c>
      <c r="J182" s="11" t="n"/>
      <c r="K182" s="11" t="n"/>
      <c r="L182" s="11" t="n"/>
      <c r="M182" s="11" t="n"/>
      <c r="N182" s="11" t="n"/>
      <c r="O182" s="12" t="n">
        <v>2350</v>
      </c>
      <c r="P182" s="12" t="n">
        <v>1645</v>
      </c>
      <c r="Q182" s="12" t="n">
        <v>1200</v>
      </c>
      <c r="R182" s="11" t="n"/>
      <c r="S182" s="13" t="n"/>
      <c r="T182" s="10" t="n">
        <v>194</v>
      </c>
      <c r="U182" s="11" t="n"/>
      <c r="V182" s="11" t="inlineStr">
        <is>
          <t>Available</t>
        </is>
      </c>
      <c r="W182" s="11" t="n"/>
      <c r="X182" s="11" t="n"/>
      <c r="Y182" s="10" t="n"/>
      <c r="Z182" s="10" t="n"/>
      <c r="AA182" s="14">
        <f>IF(AND(N(Y182)&gt;0,N(Z182)&gt;0),ROUND(43560/(Y182*Z182),0),"")</f>
        <v/>
      </c>
      <c r="AB182" s="10" t="inlineStr">
        <is>
          <t>3 to 4 feet</t>
        </is>
      </c>
      <c r="AC182" s="10" t="inlineStr">
        <is>
          <t>Full Sunlight. Requires at least 6-8 hours of direct sunlight daily</t>
        </is>
      </c>
      <c r="AD182" s="11" t="n"/>
      <c r="AE182" s="10" t="inlineStr">
        <is>
          <t>15°C and 35°C</t>
        </is>
      </c>
      <c r="AF182" s="10" t="inlineStr">
        <is>
          <t>Upright, bushy growth habit</t>
        </is>
      </c>
      <c r="AG182" s="10" t="inlineStr">
        <is>
          <t>Ready to harvest</t>
        </is>
      </c>
      <c r="AH182" s="10" t="inlineStr">
        <is>
          <t>20-40 fruits per season</t>
        </is>
      </c>
      <c r="AI182" s="10" t="inlineStr">
        <is>
          <t>All season</t>
        </is>
      </c>
      <c r="AJ182" s="10" t="inlineStr">
        <is>
          <t>1 to 2 inches in diameter</t>
        </is>
      </c>
      <c r="AK182" s="11" t="n"/>
      <c r="AL182" s="11" t="n"/>
      <c r="AM182" s="11" t="n"/>
      <c r="AN182" s="11" t="n"/>
      <c r="AO182" s="11" t="n"/>
      <c r="AP182" s="11" t="n"/>
      <c r="AQ182" s="11" t="n"/>
      <c r="AR182" s="10" t="inlineStr">
        <is>
          <t>https://hasiruagro.com/wp-content/uploads/2024/02/Bush-Orange-Hasiruagro.webp</t>
        </is>
      </c>
      <c r="AS182" s="11" t="n"/>
      <c r="AT182" s="11" t="n"/>
    </row>
    <row r="183">
      <c r="A183" s="10" t="inlineStr">
        <is>
          <t>HA00185</t>
        </is>
      </c>
      <c r="B183" s="10" t="inlineStr">
        <is>
          <t>Abiu (Air layered)</t>
        </is>
      </c>
      <c r="C183" s="11" t="n"/>
      <c r="D183" s="10" t="inlineStr">
        <is>
          <t>Exotic fruits</t>
        </is>
      </c>
      <c r="E183" s="11" t="inlineStr">
        <is>
          <t>Fruiting Trees</t>
        </is>
      </c>
      <c r="F183" s="11" t="inlineStr">
        <is>
          <t>Exotic</t>
        </is>
      </c>
      <c r="G183" s="11" t="inlineStr">
        <is>
          <t>Yes</t>
        </is>
      </c>
      <c r="H183" s="11" t="inlineStr">
        <is>
          <t>No</t>
        </is>
      </c>
      <c r="I183" s="10" t="n"/>
      <c r="J183" s="11" t="n"/>
      <c r="K183" s="11" t="n"/>
      <c r="L183" s="11" t="n"/>
      <c r="M183" s="11" t="n"/>
      <c r="N183" s="11" t="n"/>
      <c r="O183" s="12" t="n">
        <v>2400</v>
      </c>
      <c r="P183" s="12" t="n">
        <v>1680</v>
      </c>
      <c r="Q183" s="12" t="n">
        <v>700</v>
      </c>
      <c r="R183" s="11" t="n"/>
      <c r="S183" s="13" t="n"/>
      <c r="T183" s="10" t="n">
        <v>34</v>
      </c>
      <c r="U183" s="11" t="n"/>
      <c r="V183" s="11" t="inlineStr">
        <is>
          <t>Available</t>
        </is>
      </c>
      <c r="W183" s="11" t="n"/>
      <c r="X183" s="11" t="n"/>
      <c r="Y183" s="10" t="n"/>
      <c r="Z183" s="10" t="n"/>
      <c r="AA183" s="14">
        <f>IF(AND(N(Y183)&gt;0,N(Z183)&gt;0),ROUND(43560/(Y183*Z183),0),"")</f>
        <v/>
      </c>
      <c r="AB183" s="10" t="n"/>
      <c r="AC183" s="10" t="n"/>
      <c r="AD183" s="11" t="n"/>
      <c r="AE183" s="10" t="n"/>
      <c r="AF183" s="10" t="n"/>
      <c r="AG183" s="10" t="n"/>
      <c r="AH183" s="10" t="n"/>
      <c r="AI183" s="10" t="n"/>
      <c r="AJ183" s="10" t="n"/>
      <c r="AK183" s="11" t="n"/>
      <c r="AL183" s="11" t="n"/>
      <c r="AM183" s="11" t="n"/>
      <c r="AN183" s="11" t="n"/>
      <c r="AO183" s="11" t="n"/>
      <c r="AP183" s="11" t="n"/>
      <c r="AQ183" s="11" t="n"/>
      <c r="AR183" s="10" t="inlineStr">
        <is>
          <t>https://hasiruagro.com/wp-content/uploads/2024/03/abiu-air-layered-hasiru-agro.webp</t>
        </is>
      </c>
      <c r="AS183" s="11" t="n"/>
      <c r="AT183" s="11" t="n"/>
    </row>
    <row r="184">
      <c r="A184" s="10" t="inlineStr">
        <is>
          <t>HA00186</t>
        </is>
      </c>
      <c r="B184" s="10" t="inlineStr">
        <is>
          <t>Tabebuia avellanedae</t>
        </is>
      </c>
      <c r="C184" s="11" t="n"/>
      <c r="D184" s="10" t="inlineStr">
        <is>
          <t>Forestry</t>
        </is>
      </c>
      <c r="E184" s="11" t="inlineStr">
        <is>
          <t>Timber Trees</t>
        </is>
      </c>
      <c r="F184" s="11" t="n"/>
      <c r="G184" s="11" t="inlineStr">
        <is>
          <t>Yes</t>
        </is>
      </c>
      <c r="H184" s="11" t="inlineStr">
        <is>
          <t>No</t>
        </is>
      </c>
      <c r="I184" s="10" t="n"/>
      <c r="J184" s="11" t="n"/>
      <c r="K184" s="11" t="n"/>
      <c r="L184" s="11" t="n"/>
      <c r="M184" s="11" t="n"/>
      <c r="N184" s="11" t="n"/>
      <c r="O184" s="12" t="n">
        <v>1000</v>
      </c>
      <c r="P184" s="12" t="n">
        <v>700</v>
      </c>
      <c r="Q184" s="12" t="n">
        <v>150</v>
      </c>
      <c r="R184" s="11" t="n"/>
      <c r="S184" s="13" t="n"/>
      <c r="T184" s="10" t="n">
        <v>-3</v>
      </c>
      <c r="U184" s="11" t="n"/>
      <c r="V184" s="11" t="inlineStr">
        <is>
          <t>Out of Stock</t>
        </is>
      </c>
      <c r="W184" s="11" t="n"/>
      <c r="X184" s="11" t="n"/>
      <c r="Y184" s="10" t="n"/>
      <c r="Z184" s="10" t="n"/>
      <c r="AA184" s="14">
        <f>IF(AND(N(Y184)&gt;0,N(Z184)&gt;0),ROUND(43560/(Y184*Z184),0),"")</f>
        <v/>
      </c>
      <c r="AB184" s="10" t="n"/>
      <c r="AC184" s="10" t="n"/>
      <c r="AD184" s="11" t="n"/>
      <c r="AE184" s="10" t="n"/>
      <c r="AF184" s="10" t="n"/>
      <c r="AG184" s="10" t="n"/>
      <c r="AH184" s="10" t="n"/>
      <c r="AI184" s="10" t="n"/>
      <c r="AJ184" s="10" t="n"/>
      <c r="AK184" s="11" t="n"/>
      <c r="AL184" s="11" t="n"/>
      <c r="AM184" s="11" t="n"/>
      <c r="AN184" s="11" t="n"/>
      <c r="AO184" s="11" t="n"/>
      <c r="AP184" s="11" t="n"/>
      <c r="AQ184" s="11" t="n"/>
      <c r="AR184" s="10" t="inlineStr">
        <is>
          <t>https://hasiruagro.com/wp-content/uploads/2024/03/tabebuia-avellanedae-hasiru-agro-1.webp</t>
        </is>
      </c>
      <c r="AS184" s="11" t="n"/>
      <c r="AT184" s="11" t="n"/>
    </row>
    <row r="185">
      <c r="A185" s="10" t="inlineStr">
        <is>
          <t>HA00187</t>
        </is>
      </c>
      <c r="B185" s="10" t="inlineStr">
        <is>
          <t>Tabebuia rosea</t>
        </is>
      </c>
      <c r="C185" s="11" t="n"/>
      <c r="D185" s="10" t="inlineStr">
        <is>
          <t>Forestry</t>
        </is>
      </c>
      <c r="E185" s="11" t="inlineStr">
        <is>
          <t>Timber Trees</t>
        </is>
      </c>
      <c r="F185" s="11" t="n"/>
      <c r="G185" s="11" t="inlineStr">
        <is>
          <t>Yes</t>
        </is>
      </c>
      <c r="H185" s="11" t="inlineStr">
        <is>
          <t>No</t>
        </is>
      </c>
      <c r="I185" s="10" t="n"/>
      <c r="J185" s="11" t="n"/>
      <c r="K185" s="11" t="n"/>
      <c r="L185" s="11" t="n"/>
      <c r="M185" s="11" t="n"/>
      <c r="N185" s="11" t="n"/>
      <c r="O185" s="12" t="n">
        <v>1100</v>
      </c>
      <c r="P185" s="12" t="n">
        <v>770</v>
      </c>
      <c r="Q185" s="12" t="n">
        <v>150</v>
      </c>
      <c r="R185" s="11" t="n"/>
      <c r="S185" s="13" t="n"/>
      <c r="T185" s="10" t="n">
        <v>0</v>
      </c>
      <c r="U185" s="11" t="n"/>
      <c r="V185" s="11" t="inlineStr">
        <is>
          <t>Out of Stock</t>
        </is>
      </c>
      <c r="W185" s="11" t="n"/>
      <c r="X185" s="11" t="n"/>
      <c r="Y185" s="10" t="n"/>
      <c r="Z185" s="10" t="n"/>
      <c r="AA185" s="14">
        <f>IF(AND(N(Y185)&gt;0,N(Z185)&gt;0),ROUND(43560/(Y185*Z185),0),"")</f>
        <v/>
      </c>
      <c r="AB185" s="10" t="n"/>
      <c r="AC185" s="10" t="n"/>
      <c r="AD185" s="11" t="n"/>
      <c r="AE185" s="10" t="n"/>
      <c r="AF185" s="10" t="n"/>
      <c r="AG185" s="10" t="n"/>
      <c r="AH185" s="10" t="n"/>
      <c r="AI185" s="10" t="n"/>
      <c r="AJ185" s="10" t="n"/>
      <c r="AK185" s="11" t="n"/>
      <c r="AL185" s="11" t="n"/>
      <c r="AM185" s="11" t="n"/>
      <c r="AN185" s="11" t="n"/>
      <c r="AO185" s="11" t="n"/>
      <c r="AP185" s="11" t="n"/>
      <c r="AQ185" s="11" t="n"/>
      <c r="AR185" s="10" t="inlineStr">
        <is>
          <t>https://hasiruagro.com/wp-content/uploads/2024/03/Tabebuia-rosea-hasiru-agro.webp</t>
        </is>
      </c>
      <c r="AS185" s="11" t="n"/>
      <c r="AT185" s="11" t="n"/>
    </row>
    <row r="186">
      <c r="A186" s="10" t="inlineStr">
        <is>
          <t>HA00188</t>
        </is>
      </c>
      <c r="B186" s="10" t="inlineStr">
        <is>
          <t>Gulmohar</t>
        </is>
      </c>
      <c r="C186" s="11" t="n"/>
      <c r="D186" s="10" t="inlineStr">
        <is>
          <t>Forestry</t>
        </is>
      </c>
      <c r="E186" s="11" t="inlineStr">
        <is>
          <t>Timber Trees</t>
        </is>
      </c>
      <c r="F186" s="11" t="n"/>
      <c r="G186" s="11" t="inlineStr">
        <is>
          <t>Yes</t>
        </is>
      </c>
      <c r="H186" s="11" t="inlineStr">
        <is>
          <t>No</t>
        </is>
      </c>
      <c r="I186" s="10" t="n"/>
      <c r="J186" s="11" t="n"/>
      <c r="K186" s="11" t="n"/>
      <c r="L186" s="11" t="n"/>
      <c r="M186" s="11" t="n"/>
      <c r="N186" s="11" t="n"/>
      <c r="O186" s="12" t="n">
        <v>950</v>
      </c>
      <c r="P186" s="12" t="n">
        <v>665</v>
      </c>
      <c r="Q186" s="12" t="n">
        <v>150</v>
      </c>
      <c r="R186" s="11" t="n"/>
      <c r="S186" s="13" t="n"/>
      <c r="T186" s="10" t="n">
        <v>0</v>
      </c>
      <c r="U186" s="11" t="n"/>
      <c r="V186" s="11" t="inlineStr">
        <is>
          <t>Out of Stock</t>
        </is>
      </c>
      <c r="W186" s="11" t="n"/>
      <c r="X186" s="11" t="n"/>
      <c r="Y186" s="10" t="n"/>
      <c r="Z186" s="10" t="n"/>
      <c r="AA186" s="14">
        <f>IF(AND(N(Y186)&gt;0,N(Z186)&gt;0),ROUND(43560/(Y186*Z186),0),"")</f>
        <v/>
      </c>
      <c r="AB186" s="10" t="n"/>
      <c r="AC186" s="10" t="n"/>
      <c r="AD186" s="11" t="n"/>
      <c r="AE186" s="10" t="n"/>
      <c r="AF186" s="10" t="n"/>
      <c r="AG186" s="10" t="n"/>
      <c r="AH186" s="10" t="n"/>
      <c r="AI186" s="10" t="n"/>
      <c r="AJ186" s="10" t="n"/>
      <c r="AK186" s="11" t="n"/>
      <c r="AL186" s="11" t="n"/>
      <c r="AM186" s="11" t="n"/>
      <c r="AN186" s="11" t="n"/>
      <c r="AO186" s="11" t="n"/>
      <c r="AP186" s="11" t="n"/>
      <c r="AQ186" s="11" t="n"/>
      <c r="AR186" s="10" t="inlineStr">
        <is>
          <t>https://hasiruagro.com/wp-content/uploads/2024/03/gulmohar-plant-hasiru-agro.webp</t>
        </is>
      </c>
      <c r="AS186" s="11" t="n"/>
      <c r="AT186" s="11" t="n"/>
    </row>
    <row r="187">
      <c r="A187" s="10" t="inlineStr">
        <is>
          <t>HA00189</t>
        </is>
      </c>
      <c r="B187" s="10" t="inlineStr">
        <is>
          <t>Saraca asoca</t>
        </is>
      </c>
      <c r="C187" s="11" t="n"/>
      <c r="D187" s="10" t="inlineStr">
        <is>
          <t>Forestry</t>
        </is>
      </c>
      <c r="E187" s="11" t="inlineStr">
        <is>
          <t>Timber Trees</t>
        </is>
      </c>
      <c r="F187" s="11" t="n"/>
      <c r="G187" s="11" t="inlineStr">
        <is>
          <t>Yes</t>
        </is>
      </c>
      <c r="H187" s="11" t="inlineStr">
        <is>
          <t>No</t>
        </is>
      </c>
      <c r="I187" s="10" t="n"/>
      <c r="J187" s="11" t="n"/>
      <c r="K187" s="11" t="n"/>
      <c r="L187" s="11" t="n"/>
      <c r="M187" s="11" t="n"/>
      <c r="N187" s="11" t="n"/>
      <c r="O187" s="12" t="n">
        <v>900</v>
      </c>
      <c r="P187" s="12" t="n">
        <v>630</v>
      </c>
      <c r="Q187" s="12" t="n">
        <v>60</v>
      </c>
      <c r="R187" s="11" t="n"/>
      <c r="S187" s="13" t="n"/>
      <c r="T187" s="10" t="n">
        <v>480</v>
      </c>
      <c r="U187" s="11" t="n"/>
      <c r="V187" s="11" t="inlineStr">
        <is>
          <t>Available</t>
        </is>
      </c>
      <c r="W187" s="11" t="n"/>
      <c r="X187" s="11" t="n"/>
      <c r="Y187" s="10" t="n"/>
      <c r="Z187" s="10" t="n"/>
      <c r="AA187" s="14">
        <f>IF(AND(N(Y187)&gt;0,N(Z187)&gt;0),ROUND(43560/(Y187*Z187),0),"")</f>
        <v/>
      </c>
      <c r="AB187" s="10" t="n"/>
      <c r="AC187" s="10" t="n"/>
      <c r="AD187" s="11" t="n"/>
      <c r="AE187" s="10" t="n"/>
      <c r="AF187" s="10" t="n"/>
      <c r="AG187" s="10" t="n"/>
      <c r="AH187" s="10" t="n"/>
      <c r="AI187" s="10" t="n"/>
      <c r="AJ187" s="10" t="n"/>
      <c r="AK187" s="11" t="n"/>
      <c r="AL187" s="11" t="n"/>
      <c r="AM187" s="11" t="n"/>
      <c r="AN187" s="11" t="n"/>
      <c r="AO187" s="11" t="n"/>
      <c r="AP187" s="11" t="n"/>
      <c r="AQ187" s="11" t="n"/>
      <c r="AR187" s="10" t="inlineStr">
        <is>
          <t>https://hasiruagro.com/wp-content/uploads/2024/03/Saraca-asoca-tree-hasiru-agro.webp</t>
        </is>
      </c>
      <c r="AS187" s="11" t="n"/>
      <c r="AT187" s="11" t="n"/>
    </row>
    <row r="188">
      <c r="A188" s="10" t="inlineStr">
        <is>
          <t>HA00190</t>
        </is>
      </c>
      <c r="B188" s="10" t="inlineStr">
        <is>
          <t>Ice cream beans</t>
        </is>
      </c>
      <c r="C188" s="11" t="n"/>
      <c r="D188" s="10" t="inlineStr">
        <is>
          <t>Exotic fruits</t>
        </is>
      </c>
      <c r="E188" s="11" t="inlineStr">
        <is>
          <t>Fruiting Trees</t>
        </is>
      </c>
      <c r="F188" s="11" t="inlineStr">
        <is>
          <t>Exotic</t>
        </is>
      </c>
      <c r="G188" s="11" t="inlineStr">
        <is>
          <t>Yes</t>
        </is>
      </c>
      <c r="H188" s="11" t="inlineStr">
        <is>
          <t>No</t>
        </is>
      </c>
      <c r="I188" s="10" t="n"/>
      <c r="J188" s="11" t="n"/>
      <c r="K188" s="11" t="n"/>
      <c r="L188" s="11" t="n"/>
      <c r="M188" s="11" t="n"/>
      <c r="N188" s="11" t="n"/>
      <c r="O188" s="12" t="n">
        <v>1600</v>
      </c>
      <c r="P188" s="12" t="n">
        <v>1120</v>
      </c>
      <c r="Q188" s="12" t="n">
        <v>250</v>
      </c>
      <c r="R188" s="11" t="n"/>
      <c r="S188" s="13" t="n"/>
      <c r="T188" s="10" t="n">
        <v>0</v>
      </c>
      <c r="U188" s="11" t="n"/>
      <c r="V188" s="11" t="inlineStr">
        <is>
          <t>Out of Stock</t>
        </is>
      </c>
      <c r="W188" s="11" t="n"/>
      <c r="X188" s="11" t="n"/>
      <c r="Y188" s="10" t="n"/>
      <c r="Z188" s="10" t="n"/>
      <c r="AA188" s="14">
        <f>IF(AND(N(Y188)&gt;0,N(Z188)&gt;0),ROUND(43560/(Y188*Z188),0),"")</f>
        <v/>
      </c>
      <c r="AB188" s="10" t="n"/>
      <c r="AC188" s="10" t="n"/>
      <c r="AD188" s="11" t="n"/>
      <c r="AE188" s="10" t="n"/>
      <c r="AF188" s="10" t="n"/>
      <c r="AG188" s="10" t="n"/>
      <c r="AH188" s="10" t="n"/>
      <c r="AI188" s="10" t="n"/>
      <c r="AJ188" s="10" t="n"/>
      <c r="AK188" s="11" t="n"/>
      <c r="AL188" s="11" t="n"/>
      <c r="AM188" s="11" t="n"/>
      <c r="AN188" s="11" t="n"/>
      <c r="AO188" s="11" t="n"/>
      <c r="AP188" s="11" t="n"/>
      <c r="AQ188" s="11" t="n"/>
      <c r="AR188" s="10" t="inlineStr">
        <is>
          <t>https://hasiruagro.com/wp-content/uploads/2024/03/ice-cream-plant-hasiru-agro.webp</t>
        </is>
      </c>
      <c r="AS188" s="11" t="n"/>
      <c r="AT188" s="11" t="n"/>
    </row>
    <row r="189">
      <c r="A189" s="10" t="inlineStr">
        <is>
          <t>HA00191</t>
        </is>
      </c>
      <c r="B189" s="10" t="inlineStr">
        <is>
          <t>Apple Ber Plant</t>
        </is>
      </c>
      <c r="C189" s="11" t="n"/>
      <c r="D189" s="10" t="inlineStr">
        <is>
          <t>Desi Fruits</t>
        </is>
      </c>
      <c r="E189" s="11" t="inlineStr">
        <is>
          <t>Fruiting Trees</t>
        </is>
      </c>
      <c r="F189" s="11" t="inlineStr">
        <is>
          <t>Desi</t>
        </is>
      </c>
      <c r="G189" s="11" t="inlineStr">
        <is>
          <t>Yes</t>
        </is>
      </c>
      <c r="H189" s="11" t="inlineStr">
        <is>
          <t>No</t>
        </is>
      </c>
      <c r="I189" s="10" t="n"/>
      <c r="J189" s="11" t="n"/>
      <c r="K189" s="11" t="n"/>
      <c r="L189" s="11" t="n"/>
      <c r="M189" s="11" t="n"/>
      <c r="N189" s="11" t="n"/>
      <c r="O189" s="12" t="n">
        <v>200</v>
      </c>
      <c r="P189" s="12" t="n">
        <v>140</v>
      </c>
      <c r="Q189" s="12" t="n">
        <v>60</v>
      </c>
      <c r="R189" s="11" t="n"/>
      <c r="S189" s="13" t="n"/>
      <c r="T189" s="10" t="n">
        <v>47</v>
      </c>
      <c r="U189" s="11" t="n"/>
      <c r="V189" s="11" t="inlineStr">
        <is>
          <t>Available</t>
        </is>
      </c>
      <c r="W189" s="11" t="n"/>
      <c r="X189" s="11" t="n"/>
      <c r="Y189" s="10" t="n">
        <v>8</v>
      </c>
      <c r="Z189" s="10" t="n">
        <v>8</v>
      </c>
      <c r="AA189" s="14">
        <f>IF(AND(N(Y189)&gt;0,N(Z189)&gt;0),ROUND(43560/(Y189*Z189),0),"")</f>
        <v/>
      </c>
      <c r="AB189" s="10" t="inlineStr">
        <is>
          <t>8 ft × 8 ft</t>
        </is>
      </c>
      <c r="AC189" s="10" t="inlineStr">
        <is>
          <t>yes</t>
        </is>
      </c>
      <c r="AD189" s="11" t="n"/>
      <c r="AE189" s="10" t="inlineStr">
        <is>
          <t>25-30</t>
        </is>
      </c>
      <c r="AF189" s="10" t="n"/>
      <c r="AG189" s="10" t="n"/>
      <c r="AH189" s="10" t="n"/>
      <c r="AI189" s="10" t="inlineStr">
        <is>
          <t>late-winter</t>
        </is>
      </c>
      <c r="AJ189" s="10" t="inlineStr">
        <is>
          <t>80–100 g</t>
        </is>
      </c>
      <c r="AK189" s="11" t="n"/>
      <c r="AL189" s="11" t="n"/>
      <c r="AM189" s="11" t="n"/>
      <c r="AN189" s="11" t="n"/>
      <c r="AO189" s="11" t="n"/>
      <c r="AP189" s="11" t="n"/>
      <c r="AQ189" s="11" t="n"/>
      <c r="AR189" s="10" t="inlineStr">
        <is>
          <t>https://hasiruagro.com/wp-content/uploads/2024/03/Apple-ber-plant-hasiru-agro.webp</t>
        </is>
      </c>
      <c r="AS189" s="11" t="n"/>
      <c r="AT189" s="11" t="n"/>
    </row>
    <row r="190">
      <c r="A190" s="10" t="inlineStr">
        <is>
          <t>HA00192</t>
        </is>
      </c>
      <c r="B190" s="10" t="inlineStr">
        <is>
          <t>Apple Ber Miss India</t>
        </is>
      </c>
      <c r="C190" s="11" t="n"/>
      <c r="D190" s="10" t="inlineStr">
        <is>
          <t>Desi Fruits</t>
        </is>
      </c>
      <c r="E190" s="11" t="inlineStr">
        <is>
          <t>Fruiting Trees</t>
        </is>
      </c>
      <c r="F190" s="11" t="inlineStr">
        <is>
          <t>Desi</t>
        </is>
      </c>
      <c r="G190" s="11" t="inlineStr">
        <is>
          <t>Yes</t>
        </is>
      </c>
      <c r="H190" s="11" t="inlineStr">
        <is>
          <t>No</t>
        </is>
      </c>
      <c r="I190" s="10" t="n"/>
      <c r="J190" s="11" t="n"/>
      <c r="K190" s="11" t="n"/>
      <c r="L190" s="11" t="n"/>
      <c r="M190" s="11" t="n"/>
      <c r="N190" s="11" t="n"/>
      <c r="O190" s="12" t="n">
        <v>200</v>
      </c>
      <c r="P190" s="12" t="n">
        <v>140</v>
      </c>
      <c r="Q190" s="12" t="n">
        <v>60</v>
      </c>
      <c r="R190" s="11" t="n"/>
      <c r="S190" s="13" t="n"/>
      <c r="T190" s="10" t="n">
        <v>48</v>
      </c>
      <c r="U190" s="11" t="n"/>
      <c r="V190" s="11" t="inlineStr">
        <is>
          <t>Available</t>
        </is>
      </c>
      <c r="W190" s="11" t="n"/>
      <c r="X190" s="11" t="n"/>
      <c r="Y190" s="10" t="n"/>
      <c r="Z190" s="10" t="n"/>
      <c r="AA190" s="14">
        <f>IF(AND(N(Y190)&gt;0,N(Z190)&gt;0),ROUND(43560/(Y190*Z190),0),"")</f>
        <v/>
      </c>
      <c r="AB190" s="10" t="n"/>
      <c r="AC190" s="10" t="n"/>
      <c r="AD190" s="11" t="n"/>
      <c r="AE190" s="10" t="n"/>
      <c r="AF190" s="10" t="n"/>
      <c r="AG190" s="10" t="n"/>
      <c r="AH190" s="10" t="n"/>
      <c r="AI190" s="10" t="n"/>
      <c r="AJ190" s="10" t="n"/>
      <c r="AK190" s="11" t="n"/>
      <c r="AL190" s="11" t="n"/>
      <c r="AM190" s="11" t="n"/>
      <c r="AN190" s="11" t="n"/>
      <c r="AO190" s="11" t="n"/>
      <c r="AP190" s="11" t="n"/>
      <c r="AQ190" s="11" t="n"/>
      <c r="AR190" s="10" t="inlineStr">
        <is>
          <t>https://hasiruagro.com/wp-content/uploads/2024/03/Apple-Ber-Miss-India-Hasiru-Agro.webp</t>
        </is>
      </c>
      <c r="AS190" s="11" t="n"/>
      <c r="AT190" s="11" t="n"/>
    </row>
    <row r="191">
      <c r="A191" s="10" t="inlineStr">
        <is>
          <t>HA00193</t>
        </is>
      </c>
      <c r="B191" s="10" t="inlineStr">
        <is>
          <t>Super Bagwa Pomegranate</t>
        </is>
      </c>
      <c r="C191" s="11" t="n"/>
      <c r="D191" s="10" t="inlineStr">
        <is>
          <t>Desi Fruits</t>
        </is>
      </c>
      <c r="E191" s="11" t="inlineStr">
        <is>
          <t>Fruiting Trees</t>
        </is>
      </c>
      <c r="F191" s="11" t="inlineStr">
        <is>
          <t>Desi</t>
        </is>
      </c>
      <c r="G191" s="11" t="inlineStr">
        <is>
          <t>Yes</t>
        </is>
      </c>
      <c r="H191" s="11" t="inlineStr">
        <is>
          <t>No</t>
        </is>
      </c>
      <c r="I191" s="10" t="n"/>
      <c r="J191" s="11" t="n"/>
      <c r="K191" s="11" t="n"/>
      <c r="L191" s="11" t="n"/>
      <c r="M191" s="11" t="n"/>
      <c r="N191" s="11" t="n"/>
      <c r="O191" s="12" t="n">
        <v>250</v>
      </c>
      <c r="P191" s="12" t="n">
        <v>175</v>
      </c>
      <c r="Q191" s="12" t="n">
        <v>100</v>
      </c>
      <c r="R191" s="11" t="n"/>
      <c r="S191" s="13" t="n"/>
      <c r="T191" s="10" t="n">
        <v>96</v>
      </c>
      <c r="U191" s="11" t="n"/>
      <c r="V191" s="11" t="inlineStr">
        <is>
          <t>Available</t>
        </is>
      </c>
      <c r="W191" s="11" t="n"/>
      <c r="X191" s="11" t="n"/>
      <c r="Y191" s="10" t="n"/>
      <c r="Z191" s="10" t="n"/>
      <c r="AA191" s="14">
        <f>IF(AND(N(Y191)&gt;0,N(Z191)&gt;0),ROUND(43560/(Y191*Z191),0),"")</f>
        <v/>
      </c>
      <c r="AB191" s="10" t="n"/>
      <c r="AC191" s="10" t="n"/>
      <c r="AD191" s="11" t="n"/>
      <c r="AE191" s="10" t="n"/>
      <c r="AF191" s="10" t="n"/>
      <c r="AG191" s="10" t="n"/>
      <c r="AH191" s="10" t="n"/>
      <c r="AI191" s="10" t="n"/>
      <c r="AJ191" s="10" t="n"/>
      <c r="AK191" s="11" t="n"/>
      <c r="AL191" s="11" t="n"/>
      <c r="AM191" s="11" t="n"/>
      <c r="AN191" s="11" t="n"/>
      <c r="AO191" s="11" t="n"/>
      <c r="AP191" s="11" t="n"/>
      <c r="AQ191" s="11" t="n"/>
      <c r="AR191" s="10" t="inlineStr">
        <is>
          <t>https://hasiruagro.com/wp-content/uploads/2024/03/Super-Bagwa-Pomegranate-fruit-Hasiru-Agro.webp</t>
        </is>
      </c>
      <c r="AS191" s="11" t="n"/>
      <c r="AT191" s="11" t="n"/>
    </row>
    <row r="192">
      <c r="A192" s="10" t="inlineStr">
        <is>
          <t>HA00194</t>
        </is>
      </c>
      <c r="B192" s="10" t="inlineStr">
        <is>
          <t>Buddha's hand lime</t>
        </is>
      </c>
      <c r="C192" s="11" t="n"/>
      <c r="D192" s="10" t="inlineStr">
        <is>
          <t>Exotic fruits</t>
        </is>
      </c>
      <c r="E192" s="11" t="inlineStr">
        <is>
          <t>Fruiting Trees</t>
        </is>
      </c>
      <c r="F192" s="11" t="inlineStr">
        <is>
          <t>Exotic</t>
        </is>
      </c>
      <c r="G192" s="11" t="inlineStr">
        <is>
          <t>Yes</t>
        </is>
      </c>
      <c r="H192" s="11" t="inlineStr">
        <is>
          <t>No</t>
        </is>
      </c>
      <c r="I192" s="10" t="n"/>
      <c r="J192" s="11" t="n"/>
      <c r="K192" s="11" t="n"/>
      <c r="L192" s="11" t="n"/>
      <c r="M192" s="11" t="n"/>
      <c r="N192" s="11" t="n"/>
      <c r="O192" s="12" t="n">
        <v>1000</v>
      </c>
      <c r="P192" s="12" t="n">
        <v>700</v>
      </c>
      <c r="Q192" s="12" t="n">
        <v>120</v>
      </c>
      <c r="R192" s="11" t="n"/>
      <c r="S192" s="13" t="n"/>
      <c r="T192" s="10" t="n">
        <v>0</v>
      </c>
      <c r="U192" s="11" t="n"/>
      <c r="V192" s="11" t="inlineStr">
        <is>
          <t>Out of Stock</t>
        </is>
      </c>
      <c r="W192" s="11" t="n"/>
      <c r="X192" s="11" t="n"/>
      <c r="Y192" s="10" t="n"/>
      <c r="Z192" s="10" t="n"/>
      <c r="AA192" s="14">
        <f>IF(AND(N(Y192)&gt;0,N(Z192)&gt;0),ROUND(43560/(Y192*Z192),0),"")</f>
        <v/>
      </c>
      <c r="AB192" s="10" t="n"/>
      <c r="AC192" s="10" t="n"/>
      <c r="AD192" s="11" t="n"/>
      <c r="AE192" s="10" t="n"/>
      <c r="AF192" s="10" t="n"/>
      <c r="AG192" s="10" t="n"/>
      <c r="AH192" s="10" t="n"/>
      <c r="AI192" s="10" t="n"/>
      <c r="AJ192" s="10" t="n"/>
      <c r="AK192" s="11" t="n"/>
      <c r="AL192" s="11" t="n"/>
      <c r="AM192" s="11" t="n"/>
      <c r="AN192" s="11" t="n"/>
      <c r="AO192" s="11" t="n"/>
      <c r="AP192" s="11" t="n"/>
      <c r="AQ192" s="11" t="n"/>
      <c r="AR192" s="10" t="inlineStr">
        <is>
          <t>https://hasiruagro.com/wp-content/uploads/2024/03/Buddhas-hand-lime-fruit-hasiru-agro.webp</t>
        </is>
      </c>
      <c r="AS192" s="11" t="n"/>
      <c r="AT192" s="11" t="n"/>
    </row>
    <row r="193">
      <c r="A193" s="10" t="inlineStr">
        <is>
          <t>HA00195</t>
        </is>
      </c>
      <c r="B193" s="10" t="inlineStr">
        <is>
          <t>Balaji Lemon</t>
        </is>
      </c>
      <c r="C193" s="11" t="n"/>
      <c r="D193" s="10" t="inlineStr">
        <is>
          <t>Desi Fruits</t>
        </is>
      </c>
      <c r="E193" s="11" t="inlineStr">
        <is>
          <t>Fruiting Trees</t>
        </is>
      </c>
      <c r="F193" s="11" t="inlineStr">
        <is>
          <t>Desi</t>
        </is>
      </c>
      <c r="G193" s="11" t="inlineStr">
        <is>
          <t>Yes</t>
        </is>
      </c>
      <c r="H193" s="11" t="inlineStr">
        <is>
          <t>No</t>
        </is>
      </c>
      <c r="I193" s="10" t="inlineStr">
        <is>
          <t>Evergreen Tree</t>
        </is>
      </c>
      <c r="J193" s="11" t="n"/>
      <c r="K193" s="11" t="n"/>
      <c r="L193" s="11" t="n"/>
      <c r="M193" s="11" t="n"/>
      <c r="N193" s="11" t="n"/>
      <c r="O193" s="12" t="n">
        <v>800</v>
      </c>
      <c r="P193" s="12" t="n">
        <v>560</v>
      </c>
      <c r="Q193" s="12" t="n">
        <v>250</v>
      </c>
      <c r="R193" s="11" t="n"/>
      <c r="S193" s="13" t="n"/>
      <c r="T193" s="10" t="n">
        <v>0</v>
      </c>
      <c r="U193" s="11" t="n"/>
      <c r="V193" s="11" t="inlineStr">
        <is>
          <t>Out of Stock</t>
        </is>
      </c>
      <c r="W193" s="11" t="n"/>
      <c r="X193" s="11" t="n"/>
      <c r="Y193" s="10" t="n"/>
      <c r="Z193" s="10" t="n"/>
      <c r="AA193" s="14">
        <f>IF(AND(N(Y193)&gt;0,N(Z193)&gt;0),ROUND(43560/(Y193*Z193),0),"")</f>
        <v/>
      </c>
      <c r="AB193" s="10" t="inlineStr">
        <is>
          <t>10-15 ft apart</t>
        </is>
      </c>
      <c r="AC193" s="10" t="inlineStr">
        <is>
          <t>Full Sun</t>
        </is>
      </c>
      <c r="AD193" s="11" t="n"/>
      <c r="AE193" s="10" t="inlineStr">
        <is>
          <t>25-35°C</t>
        </is>
      </c>
      <c r="AF193" s="10" t="inlineStr">
        <is>
          <t>Upright, bushy</t>
        </is>
      </c>
      <c r="AG193" s="10" t="inlineStr">
        <is>
          <t>1-2 years after planting</t>
        </is>
      </c>
      <c r="AH193" s="10" t="inlineStr">
        <is>
          <t>50-100 fruits annually</t>
        </is>
      </c>
      <c r="AI193" s="10" t="inlineStr">
        <is>
          <t>Year-round</t>
        </is>
      </c>
      <c r="AJ193" s="10" t="inlineStr">
        <is>
          <t>Medium to Large</t>
        </is>
      </c>
      <c r="AK193" s="11" t="n"/>
      <c r="AL193" s="11" t="n"/>
      <c r="AM193" s="11" t="n"/>
      <c r="AN193" s="11" t="n"/>
      <c r="AO193" s="11" t="n"/>
      <c r="AP193" s="11" t="n"/>
      <c r="AQ193" s="11" t="n"/>
      <c r="AR193" s="10" t="inlineStr">
        <is>
          <t>https://hasiruagro.com/wp-content/uploads/2024/03/Balaji-Lemon-fruit-hasiru-agro.webp</t>
        </is>
      </c>
      <c r="AS193" s="11" t="n"/>
      <c r="AT193" s="11" t="n"/>
    </row>
    <row r="194">
      <c r="A194" s="10" t="inlineStr">
        <is>
          <t>HA00196</t>
        </is>
      </c>
      <c r="B194" s="10" t="inlineStr">
        <is>
          <t>Disco Water Apple</t>
        </is>
      </c>
      <c r="C194" s="11" t="n"/>
      <c r="D194" s="10" t="inlineStr">
        <is>
          <t>Exotic fruits</t>
        </is>
      </c>
      <c r="E194" s="11" t="inlineStr">
        <is>
          <t>Fruiting Trees</t>
        </is>
      </c>
      <c r="F194" s="11" t="inlineStr">
        <is>
          <t>Exotic</t>
        </is>
      </c>
      <c r="G194" s="11" t="inlineStr">
        <is>
          <t>Yes</t>
        </is>
      </c>
      <c r="H194" s="11" t="inlineStr">
        <is>
          <t>No</t>
        </is>
      </c>
      <c r="I194" s="10" t="n"/>
      <c r="J194" s="11" t="n"/>
      <c r="K194" s="11" t="n"/>
      <c r="L194" s="11" t="n"/>
      <c r="M194" s="11" t="n"/>
      <c r="N194" s="11" t="n"/>
      <c r="O194" s="12" t="n">
        <v>1200</v>
      </c>
      <c r="P194" s="12" t="n">
        <v>840</v>
      </c>
      <c r="Q194" s="12" t="n">
        <v>120</v>
      </c>
      <c r="R194" s="11" t="n"/>
      <c r="S194" s="13" t="n"/>
      <c r="T194" s="10" t="n">
        <v>0</v>
      </c>
      <c r="U194" s="11" t="n"/>
      <c r="V194" s="11" t="inlineStr">
        <is>
          <t>Out of Stock</t>
        </is>
      </c>
      <c r="W194" s="11" t="n"/>
      <c r="X194" s="11" t="n"/>
      <c r="Y194" s="10" t="n"/>
      <c r="Z194" s="10" t="n"/>
      <c r="AA194" s="14">
        <f>IF(AND(N(Y194)&gt;0,N(Z194)&gt;0),ROUND(43560/(Y194*Z194),0),"")</f>
        <v/>
      </c>
      <c r="AB194" s="10" t="n"/>
      <c r="AC194" s="10" t="n"/>
      <c r="AD194" s="11" t="n"/>
      <c r="AE194" s="10" t="n"/>
      <c r="AF194" s="10" t="n"/>
      <c r="AG194" s="10" t="n"/>
      <c r="AH194" s="10" t="n"/>
      <c r="AI194" s="10" t="n"/>
      <c r="AJ194" s="10" t="n"/>
      <c r="AK194" s="11" t="n"/>
      <c r="AL194" s="11" t="n"/>
      <c r="AM194" s="11" t="n"/>
      <c r="AN194" s="11" t="n"/>
      <c r="AO194" s="11" t="n"/>
      <c r="AP194" s="11" t="n"/>
      <c r="AQ194" s="11" t="n"/>
      <c r="AR194" s="10" t="inlineStr">
        <is>
          <t>https://hasiruagro.com/wp-content/uploads/2024/03/Disco-Water-Apple-tree-hasiru-agro.webp</t>
        </is>
      </c>
      <c r="AS194" s="11" t="n"/>
      <c r="AT194" s="11" t="n"/>
    </row>
    <row r="195">
      <c r="A195" s="10" t="inlineStr">
        <is>
          <t>HA00197</t>
        </is>
      </c>
      <c r="B195" s="10" t="inlineStr">
        <is>
          <t>Ramphal</t>
        </is>
      </c>
      <c r="C195" s="11" t="n"/>
      <c r="D195" s="10" t="inlineStr">
        <is>
          <t>Desi Fruits</t>
        </is>
      </c>
      <c r="E195" s="11" t="inlineStr">
        <is>
          <t>Fruiting Trees</t>
        </is>
      </c>
      <c r="F195" s="11" t="inlineStr">
        <is>
          <t>Desi</t>
        </is>
      </c>
      <c r="G195" s="11" t="inlineStr">
        <is>
          <t>Yes</t>
        </is>
      </c>
      <c r="H195" s="11" t="inlineStr">
        <is>
          <t>No</t>
        </is>
      </c>
      <c r="I195" s="10" t="n"/>
      <c r="J195" s="11" t="n"/>
      <c r="K195" s="11" t="n"/>
      <c r="L195" s="11" t="n"/>
      <c r="M195" s="11" t="n"/>
      <c r="N195" s="11" t="n"/>
      <c r="O195" s="12" t="n">
        <v>980</v>
      </c>
      <c r="P195" s="12" t="n">
        <v>685</v>
      </c>
      <c r="Q195" s="12" t="n">
        <v>180</v>
      </c>
      <c r="R195" s="11" t="n"/>
      <c r="S195" s="13" t="n"/>
      <c r="T195" s="10" t="n">
        <v>0</v>
      </c>
      <c r="U195" s="11" t="n"/>
      <c r="V195" s="11" t="inlineStr">
        <is>
          <t>Out of Stock</t>
        </is>
      </c>
      <c r="W195" s="11" t="n"/>
      <c r="X195" s="11" t="n"/>
      <c r="Y195" s="10" t="n"/>
      <c r="Z195" s="10" t="n"/>
      <c r="AA195" s="14">
        <f>IF(AND(N(Y195)&gt;0,N(Z195)&gt;0),ROUND(43560/(Y195*Z195),0),"")</f>
        <v/>
      </c>
      <c r="AB195" s="10" t="n"/>
      <c r="AC195" s="10" t="n"/>
      <c r="AD195" s="11" t="n"/>
      <c r="AE195" s="10" t="n"/>
      <c r="AF195" s="10" t="n"/>
      <c r="AG195" s="10" t="n"/>
      <c r="AH195" s="10" t="n"/>
      <c r="AI195" s="10" t="n"/>
      <c r="AJ195" s="10" t="n"/>
      <c r="AK195" s="11" t="n"/>
      <c r="AL195" s="11" t="n"/>
      <c r="AM195" s="11" t="n"/>
      <c r="AN195" s="11" t="n"/>
      <c r="AO195" s="11" t="n"/>
      <c r="AP195" s="11" t="n"/>
      <c r="AQ195" s="11" t="n"/>
      <c r="AR195" s="10" t="inlineStr">
        <is>
          <t>https://hasiruagro.com/wp-content/uploads/2024/03/Ramphal-hasiru-agro-fruit-image.webp</t>
        </is>
      </c>
      <c r="AS195" s="11" t="n"/>
      <c r="AT195" s="11" t="n"/>
    </row>
    <row r="196">
      <c r="A196" s="10" t="inlineStr">
        <is>
          <t>HA00198</t>
        </is>
      </c>
      <c r="B196" s="10" t="inlineStr">
        <is>
          <t>Salak</t>
        </is>
      </c>
      <c r="C196" s="11" t="n"/>
      <c r="D196" s="10" t="inlineStr">
        <is>
          <t>Exotic fruits</t>
        </is>
      </c>
      <c r="E196" s="11" t="inlineStr">
        <is>
          <t>Fruiting Trees</t>
        </is>
      </c>
      <c r="F196" s="11" t="inlineStr">
        <is>
          <t>Exotic</t>
        </is>
      </c>
      <c r="G196" s="11" t="inlineStr">
        <is>
          <t>Yes</t>
        </is>
      </c>
      <c r="H196" s="11" t="inlineStr">
        <is>
          <t>No</t>
        </is>
      </c>
      <c r="I196" s="10" t="n"/>
      <c r="J196" s="11" t="n"/>
      <c r="K196" s="11" t="n"/>
      <c r="L196" s="11" t="n"/>
      <c r="M196" s="11" t="n"/>
      <c r="N196" s="11" t="n"/>
      <c r="O196" s="12" t="n">
        <v>2600</v>
      </c>
      <c r="P196" s="12" t="n">
        <v>1820</v>
      </c>
      <c r="Q196" s="12" t="n">
        <v>460</v>
      </c>
      <c r="R196" s="11" t="n"/>
      <c r="S196" s="13" t="n"/>
      <c r="T196" s="10" t="n">
        <v>20</v>
      </c>
      <c r="U196" s="11" t="n"/>
      <c r="V196" s="11" t="inlineStr">
        <is>
          <t>Available</t>
        </is>
      </c>
      <c r="W196" s="11" t="n"/>
      <c r="X196" s="11" t="n"/>
      <c r="Y196" s="10" t="n"/>
      <c r="Z196" s="10" t="n"/>
      <c r="AA196" s="14">
        <f>IF(AND(N(Y196)&gt;0,N(Z196)&gt;0),ROUND(43560/(Y196*Z196),0),"")</f>
        <v/>
      </c>
      <c r="AB196" s="10" t="n"/>
      <c r="AC196" s="10" t="n"/>
      <c r="AD196" s="11" t="n"/>
      <c r="AE196" s="10" t="n"/>
      <c r="AF196" s="10" t="n"/>
      <c r="AG196" s="10" t="n"/>
      <c r="AH196" s="10" t="n"/>
      <c r="AI196" s="10" t="n"/>
      <c r="AJ196" s="10" t="n"/>
      <c r="AK196" s="11" t="n"/>
      <c r="AL196" s="11" t="n"/>
      <c r="AM196" s="11" t="n"/>
      <c r="AN196" s="11" t="n"/>
      <c r="AO196" s="11" t="n"/>
      <c r="AP196" s="11" t="n"/>
      <c r="AQ196" s="11" t="n"/>
      <c r="AR196" s="10" t="inlineStr">
        <is>
          <t>https://hasiruagro.com/wp-content/uploads/2024/03/salak-fruit-hasiru-agro.webp</t>
        </is>
      </c>
      <c r="AS196" s="11" t="n"/>
      <c r="AT196" s="11" t="n"/>
    </row>
    <row r="197">
      <c r="A197" s="10" t="inlineStr">
        <is>
          <t>HA00199</t>
        </is>
      </c>
      <c r="B197" s="10" t="inlineStr">
        <is>
          <t>Rain forest Plum</t>
        </is>
      </c>
      <c r="C197" s="11" t="n"/>
      <c r="D197" s="10" t="inlineStr">
        <is>
          <t>Exotic fruits</t>
        </is>
      </c>
      <c r="E197" s="11" t="inlineStr">
        <is>
          <t>Fruiting Trees</t>
        </is>
      </c>
      <c r="F197" s="11" t="inlineStr">
        <is>
          <t>Exotic</t>
        </is>
      </c>
      <c r="G197" s="11" t="inlineStr">
        <is>
          <t>Yes</t>
        </is>
      </c>
      <c r="H197" s="11" t="inlineStr">
        <is>
          <t>No</t>
        </is>
      </c>
      <c r="I197" s="10" t="n"/>
      <c r="J197" s="11" t="n"/>
      <c r="K197" s="11" t="n"/>
      <c r="L197" s="11" t="n"/>
      <c r="M197" s="11" t="n"/>
      <c r="N197" s="11" t="n"/>
      <c r="O197" s="12" t="n">
        <v>2800</v>
      </c>
      <c r="P197" s="12" t="n">
        <v>1960</v>
      </c>
      <c r="Q197" s="12" t="n">
        <v>1080</v>
      </c>
      <c r="R197" s="11" t="n"/>
      <c r="S197" s="13" t="n"/>
      <c r="T197" s="10" t="n">
        <v>9</v>
      </c>
      <c r="U197" s="11" t="n"/>
      <c r="V197" s="11" t="inlineStr">
        <is>
          <t>Available</t>
        </is>
      </c>
      <c r="W197" s="11" t="n"/>
      <c r="X197" s="11" t="n"/>
      <c r="Y197" s="10" t="n"/>
      <c r="Z197" s="10" t="n"/>
      <c r="AA197" s="14">
        <f>IF(AND(N(Y197)&gt;0,N(Z197)&gt;0),ROUND(43560/(Y197*Z197),0),"")</f>
        <v/>
      </c>
      <c r="AB197" s="10" t="n"/>
      <c r="AC197" s="10" t="n"/>
      <c r="AD197" s="11" t="n"/>
      <c r="AE197" s="10" t="n"/>
      <c r="AF197" s="10" t="n"/>
      <c r="AG197" s="10" t="n"/>
      <c r="AH197" s="10" t="n"/>
      <c r="AI197" s="10" t="n"/>
      <c r="AJ197" s="10" t="n"/>
      <c r="AK197" s="11" t="n"/>
      <c r="AL197" s="11" t="n"/>
      <c r="AM197" s="11" t="n"/>
      <c r="AN197" s="11" t="n"/>
      <c r="AO197" s="11" t="n"/>
      <c r="AP197" s="11" t="n"/>
      <c r="AQ197" s="11" t="n"/>
      <c r="AR197" s="10" t="inlineStr">
        <is>
          <t>https://hasiruagro.com/wp-content/uploads/2024/03/Rain-forest-Plum-fruit-hasiru-agro.webp</t>
        </is>
      </c>
      <c r="AS197" s="11" t="n"/>
      <c r="AT197" s="11" t="n"/>
    </row>
    <row r="198">
      <c r="A198" s="10" t="n"/>
      <c r="B198" s="10" t="n"/>
      <c r="C198" s="11" t="n"/>
      <c r="D198" s="10" t="n"/>
      <c r="E198" s="11" t="n"/>
      <c r="F198" s="11" t="n"/>
      <c r="G198" s="11" t="n"/>
      <c r="H198" s="11" t="n"/>
      <c r="I198" s="10" t="n"/>
      <c r="J198" s="11" t="n"/>
      <c r="K198" s="11" t="n"/>
      <c r="L198" s="11" t="n"/>
      <c r="M198" s="11" t="n"/>
      <c r="N198" s="11" t="n"/>
      <c r="O198" s="12" t="n"/>
      <c r="P198" s="12" t="n"/>
      <c r="Q198" s="12" t="n"/>
      <c r="R198" s="11" t="n"/>
      <c r="S198" s="13" t="n"/>
      <c r="T198" s="10" t="n"/>
      <c r="U198" s="11" t="n"/>
      <c r="V198" s="11" t="n"/>
      <c r="W198" s="11" t="n"/>
      <c r="X198" s="11" t="n"/>
      <c r="Y198" s="10" t="n"/>
      <c r="Z198" s="10" t="n"/>
      <c r="AA198" s="14">
        <f>IF(AND(N(Y198)&gt;0,N(Z198)&gt;0),ROUND(43560/(Y198*Z198),0),"")</f>
        <v/>
      </c>
      <c r="AB198" s="10" t="n"/>
      <c r="AC198" s="10" t="n"/>
      <c r="AD198" s="11" t="n"/>
      <c r="AE198" s="10" t="n"/>
      <c r="AF198" s="10" t="n"/>
      <c r="AG198" s="10" t="n"/>
      <c r="AH198" s="10" t="n"/>
      <c r="AI198" s="10" t="n"/>
      <c r="AJ198" s="10" t="n"/>
      <c r="AK198" s="11" t="n"/>
      <c r="AL198" s="11" t="n"/>
      <c r="AM198" s="11" t="n"/>
      <c r="AN198" s="11" t="n"/>
      <c r="AO198" s="11" t="n"/>
      <c r="AP198" s="11" t="n"/>
      <c r="AQ198" s="11" t="n"/>
      <c r="AR198" s="10" t="n"/>
      <c r="AS198" s="11" t="n"/>
      <c r="AT198" s="11" t="n"/>
    </row>
    <row r="199">
      <c r="A199" s="10" t="n"/>
      <c r="B199" s="10" t="n"/>
      <c r="C199" s="11" t="n"/>
      <c r="D199" s="10" t="n"/>
      <c r="E199" s="11" t="n"/>
      <c r="F199" s="11" t="n"/>
      <c r="G199" s="11" t="n"/>
      <c r="H199" s="11" t="n"/>
      <c r="I199" s="10" t="n"/>
      <c r="J199" s="11" t="n"/>
      <c r="K199" s="11" t="n"/>
      <c r="L199" s="11" t="n"/>
      <c r="M199" s="11" t="n"/>
      <c r="N199" s="11" t="n"/>
      <c r="O199" s="12" t="n"/>
      <c r="P199" s="12" t="n"/>
      <c r="Q199" s="12" t="n"/>
      <c r="R199" s="11" t="n"/>
      <c r="S199" s="13" t="n"/>
      <c r="T199" s="10" t="n"/>
      <c r="U199" s="11" t="n"/>
      <c r="V199" s="11" t="n"/>
      <c r="W199" s="11" t="n"/>
      <c r="X199" s="11" t="n"/>
      <c r="Y199" s="10" t="n"/>
      <c r="Z199" s="10" t="n"/>
      <c r="AA199" s="14">
        <f>IF(AND(N(Y199)&gt;0,N(Z199)&gt;0),ROUND(43560/(Y199*Z199),0),"")</f>
        <v/>
      </c>
      <c r="AB199" s="10" t="n"/>
      <c r="AC199" s="10" t="n"/>
      <c r="AD199" s="11" t="n"/>
      <c r="AE199" s="10" t="n"/>
      <c r="AF199" s="10" t="n"/>
      <c r="AG199" s="10" t="n"/>
      <c r="AH199" s="10" t="n"/>
      <c r="AI199" s="10" t="n"/>
      <c r="AJ199" s="10" t="n"/>
      <c r="AK199" s="11" t="n"/>
      <c r="AL199" s="11" t="n"/>
      <c r="AM199" s="11" t="n"/>
      <c r="AN199" s="11" t="n"/>
      <c r="AO199" s="11" t="n"/>
      <c r="AP199" s="11" t="n"/>
      <c r="AQ199" s="11" t="n"/>
      <c r="AR199" s="10" t="n"/>
      <c r="AS199" s="11" t="n"/>
      <c r="AT199" s="11" t="n"/>
    </row>
    <row r="200">
      <c r="A200" s="10" t="n"/>
      <c r="B200" s="10" t="n"/>
      <c r="C200" s="11" t="n"/>
      <c r="D200" s="10" t="n"/>
      <c r="E200" s="11" t="n"/>
      <c r="F200" s="11" t="n"/>
      <c r="G200" s="11" t="n"/>
      <c r="H200" s="11" t="n"/>
      <c r="I200" s="10" t="n"/>
      <c r="J200" s="11" t="n"/>
      <c r="K200" s="11" t="n"/>
      <c r="L200" s="11" t="n"/>
      <c r="M200" s="11" t="n"/>
      <c r="N200" s="11" t="n"/>
      <c r="O200" s="12" t="n"/>
      <c r="P200" s="12" t="n"/>
      <c r="Q200" s="12" t="n"/>
      <c r="R200" s="11" t="n"/>
      <c r="S200" s="13" t="n"/>
      <c r="T200" s="10" t="n"/>
      <c r="U200" s="11" t="n"/>
      <c r="V200" s="11" t="n"/>
      <c r="W200" s="11" t="n"/>
      <c r="X200" s="11" t="n"/>
      <c r="Y200" s="10" t="n"/>
      <c r="Z200" s="10" t="n"/>
      <c r="AA200" s="14">
        <f>IF(AND(N(Y200)&gt;0,N(Z200)&gt;0),ROUND(43560/(Y200*Z200),0),"")</f>
        <v/>
      </c>
      <c r="AB200" s="10" t="n"/>
      <c r="AC200" s="10" t="n"/>
      <c r="AD200" s="11" t="n"/>
      <c r="AE200" s="10" t="n"/>
      <c r="AF200" s="10" t="n"/>
      <c r="AG200" s="10" t="n"/>
      <c r="AH200" s="10" t="n"/>
      <c r="AI200" s="10" t="n"/>
      <c r="AJ200" s="10" t="n"/>
      <c r="AK200" s="11" t="n"/>
      <c r="AL200" s="11" t="n"/>
      <c r="AM200" s="11" t="n"/>
      <c r="AN200" s="11" t="n"/>
      <c r="AO200" s="11" t="n"/>
      <c r="AP200" s="11" t="n"/>
      <c r="AQ200" s="11" t="n"/>
      <c r="AR200" s="10" t="n"/>
      <c r="AS200" s="11" t="n"/>
      <c r="AT200" s="11" t="n"/>
    </row>
    <row r="201">
      <c r="A201" s="10" t="n"/>
      <c r="B201" s="10" t="n"/>
      <c r="C201" s="11" t="n"/>
      <c r="D201" s="10" t="n"/>
      <c r="E201" s="11" t="n"/>
      <c r="F201" s="11" t="n"/>
      <c r="G201" s="11" t="n"/>
      <c r="H201" s="11" t="n"/>
      <c r="I201" s="10" t="n"/>
      <c r="J201" s="11" t="n"/>
      <c r="K201" s="11" t="n"/>
      <c r="L201" s="11" t="n"/>
      <c r="M201" s="11" t="n"/>
      <c r="N201" s="11" t="n"/>
      <c r="O201" s="12" t="n"/>
      <c r="P201" s="12" t="n"/>
      <c r="Q201" s="12" t="n"/>
      <c r="R201" s="11" t="n"/>
      <c r="S201" s="13" t="n"/>
      <c r="T201" s="10" t="n"/>
      <c r="U201" s="11" t="n"/>
      <c r="V201" s="11" t="n"/>
      <c r="W201" s="11" t="n"/>
      <c r="X201" s="11" t="n"/>
      <c r="Y201" s="10" t="n"/>
      <c r="Z201" s="10" t="n"/>
      <c r="AA201" s="14">
        <f>IF(AND(N(Y201)&gt;0,N(Z201)&gt;0),ROUND(43560/(Y201*Z201),0),"")</f>
        <v/>
      </c>
      <c r="AB201" s="10" t="n"/>
      <c r="AC201" s="10" t="n"/>
      <c r="AD201" s="11" t="n"/>
      <c r="AE201" s="10" t="n"/>
      <c r="AF201" s="10" t="n"/>
      <c r="AG201" s="10" t="n"/>
      <c r="AH201" s="10" t="n"/>
      <c r="AI201" s="10" t="n"/>
      <c r="AJ201" s="10" t="n"/>
      <c r="AK201" s="11" t="n"/>
      <c r="AL201" s="11" t="n"/>
      <c r="AM201" s="11" t="n"/>
      <c r="AN201" s="11" t="n"/>
      <c r="AO201" s="11" t="n"/>
      <c r="AP201" s="11" t="n"/>
      <c r="AQ201" s="11" t="n"/>
      <c r="AR201" s="10" t="n"/>
      <c r="AS201" s="11" t="n"/>
      <c r="AT201" s="11" t="n"/>
    </row>
    <row r="202">
      <c r="A202" s="10" t="n"/>
      <c r="B202" s="10" t="n"/>
      <c r="C202" s="11" t="n"/>
      <c r="D202" s="10" t="n"/>
      <c r="E202" s="11" t="n"/>
      <c r="F202" s="11" t="n"/>
      <c r="G202" s="11" t="n"/>
      <c r="H202" s="11" t="n"/>
      <c r="I202" s="10" t="n"/>
      <c r="J202" s="11" t="n"/>
      <c r="K202" s="11" t="n"/>
      <c r="L202" s="11" t="n"/>
      <c r="M202" s="11" t="n"/>
      <c r="N202" s="11" t="n"/>
      <c r="O202" s="12" t="n"/>
      <c r="P202" s="12" t="n"/>
      <c r="Q202" s="12" t="n"/>
      <c r="R202" s="11" t="n"/>
      <c r="S202" s="13" t="n"/>
      <c r="T202" s="10" t="n"/>
      <c r="U202" s="11" t="n"/>
      <c r="V202" s="11" t="n"/>
      <c r="W202" s="11" t="n"/>
      <c r="X202" s="11" t="n"/>
      <c r="Y202" s="10" t="n"/>
      <c r="Z202" s="10" t="n"/>
      <c r="AA202" s="14">
        <f>IF(AND(N(Y202)&gt;0,N(Z202)&gt;0),ROUND(43560/(Y202*Z202),0),"")</f>
        <v/>
      </c>
      <c r="AB202" s="10" t="n"/>
      <c r="AC202" s="10" t="n"/>
      <c r="AD202" s="11" t="n"/>
      <c r="AE202" s="10" t="n"/>
      <c r="AF202" s="10" t="n"/>
      <c r="AG202" s="10" t="n"/>
      <c r="AH202" s="10" t="n"/>
      <c r="AI202" s="10" t="n"/>
      <c r="AJ202" s="10" t="n"/>
      <c r="AK202" s="11" t="n"/>
      <c r="AL202" s="11" t="n"/>
      <c r="AM202" s="11" t="n"/>
      <c r="AN202" s="11" t="n"/>
      <c r="AO202" s="11" t="n"/>
      <c r="AP202" s="11" t="n"/>
      <c r="AQ202" s="11" t="n"/>
      <c r="AR202" s="10" t="n"/>
      <c r="AS202" s="11" t="n"/>
      <c r="AT202" s="11" t="n"/>
    </row>
    <row r="203">
      <c r="A203" s="10" t="n"/>
      <c r="B203" s="10" t="n"/>
      <c r="C203" s="11" t="n"/>
      <c r="D203" s="10" t="n"/>
      <c r="E203" s="11" t="n"/>
      <c r="F203" s="11" t="n"/>
      <c r="G203" s="11" t="n"/>
      <c r="H203" s="11" t="n"/>
      <c r="I203" s="10" t="n"/>
      <c r="J203" s="11" t="n"/>
      <c r="K203" s="11" t="n"/>
      <c r="L203" s="11" t="n"/>
      <c r="M203" s="11" t="n"/>
      <c r="N203" s="11" t="n"/>
      <c r="O203" s="12" t="n"/>
      <c r="P203" s="12" t="n"/>
      <c r="Q203" s="12" t="n"/>
      <c r="R203" s="11" t="n"/>
      <c r="S203" s="13" t="n"/>
      <c r="T203" s="10" t="n"/>
      <c r="U203" s="11" t="n"/>
      <c r="V203" s="11" t="n"/>
      <c r="W203" s="11" t="n"/>
      <c r="X203" s="11" t="n"/>
      <c r="Y203" s="10" t="n"/>
      <c r="Z203" s="10" t="n"/>
      <c r="AA203" s="14">
        <f>IF(AND(N(Y203)&gt;0,N(Z203)&gt;0),ROUND(43560/(Y203*Z203),0),"")</f>
        <v/>
      </c>
      <c r="AB203" s="10" t="n"/>
      <c r="AC203" s="10" t="n"/>
      <c r="AD203" s="11" t="n"/>
      <c r="AE203" s="10" t="n"/>
      <c r="AF203" s="10" t="n"/>
      <c r="AG203" s="10" t="n"/>
      <c r="AH203" s="10" t="n"/>
      <c r="AI203" s="10" t="n"/>
      <c r="AJ203" s="10" t="n"/>
      <c r="AK203" s="11" t="n"/>
      <c r="AL203" s="11" t="n"/>
      <c r="AM203" s="11" t="n"/>
      <c r="AN203" s="11" t="n"/>
      <c r="AO203" s="11" t="n"/>
      <c r="AP203" s="11" t="n"/>
      <c r="AQ203" s="11" t="n"/>
      <c r="AR203" s="10" t="n"/>
      <c r="AS203" s="11" t="n"/>
      <c r="AT203" s="11" t="n"/>
    </row>
    <row r="204">
      <c r="A204" s="10" t="n"/>
      <c r="B204" s="10" t="n"/>
      <c r="C204" s="11" t="n"/>
      <c r="D204" s="10" t="n"/>
      <c r="E204" s="11" t="n"/>
      <c r="F204" s="11" t="n"/>
      <c r="G204" s="11" t="n"/>
      <c r="H204" s="11" t="n"/>
      <c r="I204" s="10" t="n"/>
      <c r="J204" s="11" t="n"/>
      <c r="K204" s="11" t="n"/>
      <c r="L204" s="11" t="n"/>
      <c r="M204" s="11" t="n"/>
      <c r="N204" s="11" t="n"/>
      <c r="O204" s="12" t="n"/>
      <c r="P204" s="12" t="n"/>
      <c r="Q204" s="12" t="n"/>
      <c r="R204" s="11" t="n"/>
      <c r="S204" s="13" t="n"/>
      <c r="T204" s="10" t="n"/>
      <c r="U204" s="11" t="n"/>
      <c r="V204" s="11" t="n"/>
      <c r="W204" s="11" t="n"/>
      <c r="X204" s="11" t="n"/>
      <c r="Y204" s="10" t="n"/>
      <c r="Z204" s="10" t="n"/>
      <c r="AA204" s="14">
        <f>IF(AND(N(Y204)&gt;0,N(Z204)&gt;0),ROUND(43560/(Y204*Z204),0),"")</f>
        <v/>
      </c>
      <c r="AB204" s="10" t="n"/>
      <c r="AC204" s="10" t="n"/>
      <c r="AD204" s="11" t="n"/>
      <c r="AE204" s="10" t="n"/>
      <c r="AF204" s="10" t="n"/>
      <c r="AG204" s="10" t="n"/>
      <c r="AH204" s="10" t="n"/>
      <c r="AI204" s="10" t="n"/>
      <c r="AJ204" s="10" t="n"/>
      <c r="AK204" s="11" t="n"/>
      <c r="AL204" s="11" t="n"/>
      <c r="AM204" s="11" t="n"/>
      <c r="AN204" s="11" t="n"/>
      <c r="AO204" s="11" t="n"/>
      <c r="AP204" s="11" t="n"/>
      <c r="AQ204" s="11" t="n"/>
      <c r="AR204" s="10" t="n"/>
      <c r="AS204" s="11" t="n"/>
      <c r="AT204" s="11" t="n"/>
    </row>
    <row r="205">
      <c r="A205" s="10" t="n"/>
      <c r="B205" s="10" t="n"/>
      <c r="C205" s="11" t="n"/>
      <c r="D205" s="10" t="n"/>
      <c r="E205" s="11" t="n"/>
      <c r="F205" s="11" t="n"/>
      <c r="G205" s="11" t="n"/>
      <c r="H205" s="11" t="n"/>
      <c r="I205" s="10" t="n"/>
      <c r="J205" s="11" t="n"/>
      <c r="K205" s="11" t="n"/>
      <c r="L205" s="11" t="n"/>
      <c r="M205" s="11" t="n"/>
      <c r="N205" s="11" t="n"/>
      <c r="O205" s="12" t="n"/>
      <c r="P205" s="12" t="n"/>
      <c r="Q205" s="12" t="n"/>
      <c r="R205" s="11" t="n"/>
      <c r="S205" s="13" t="n"/>
      <c r="T205" s="10" t="n"/>
      <c r="U205" s="11" t="n"/>
      <c r="V205" s="11" t="n"/>
      <c r="W205" s="11" t="n"/>
      <c r="X205" s="11" t="n"/>
      <c r="Y205" s="10" t="n"/>
      <c r="Z205" s="10" t="n"/>
      <c r="AA205" s="14">
        <f>IF(AND(N(Y205)&gt;0,N(Z205)&gt;0),ROUND(43560/(Y205*Z205),0),"")</f>
        <v/>
      </c>
      <c r="AB205" s="10" t="n"/>
      <c r="AC205" s="10" t="n"/>
      <c r="AD205" s="11" t="n"/>
      <c r="AE205" s="10" t="n"/>
      <c r="AF205" s="10" t="n"/>
      <c r="AG205" s="10" t="n"/>
      <c r="AH205" s="10" t="n"/>
      <c r="AI205" s="10" t="n"/>
      <c r="AJ205" s="10" t="n"/>
      <c r="AK205" s="11" t="n"/>
      <c r="AL205" s="11" t="n"/>
      <c r="AM205" s="11" t="n"/>
      <c r="AN205" s="11" t="n"/>
      <c r="AO205" s="11" t="n"/>
      <c r="AP205" s="11" t="n"/>
      <c r="AQ205" s="11" t="n"/>
      <c r="AR205" s="10" t="n"/>
      <c r="AS205" s="11" t="n"/>
      <c r="AT205" s="11" t="n"/>
    </row>
    <row r="206">
      <c r="A206" s="10" t="n"/>
      <c r="B206" s="10" t="n"/>
      <c r="C206" s="11" t="n"/>
      <c r="D206" s="10" t="n"/>
      <c r="E206" s="11" t="n"/>
      <c r="F206" s="11" t="n"/>
      <c r="G206" s="11" t="n"/>
      <c r="H206" s="11" t="n"/>
      <c r="I206" s="10" t="n"/>
      <c r="J206" s="11" t="n"/>
      <c r="K206" s="11" t="n"/>
      <c r="L206" s="11" t="n"/>
      <c r="M206" s="11" t="n"/>
      <c r="N206" s="11" t="n"/>
      <c r="O206" s="12" t="n"/>
      <c r="P206" s="12" t="n"/>
      <c r="Q206" s="12" t="n"/>
      <c r="R206" s="11" t="n"/>
      <c r="S206" s="13" t="n"/>
      <c r="T206" s="10" t="n"/>
      <c r="U206" s="11" t="n"/>
      <c r="V206" s="11" t="n"/>
      <c r="W206" s="11" t="n"/>
      <c r="X206" s="11" t="n"/>
      <c r="Y206" s="10" t="n"/>
      <c r="Z206" s="10" t="n"/>
      <c r="AA206" s="14">
        <f>IF(AND(N(Y206)&gt;0,N(Z206)&gt;0),ROUND(43560/(Y206*Z206),0),"")</f>
        <v/>
      </c>
      <c r="AB206" s="10" t="n"/>
      <c r="AC206" s="10" t="n"/>
      <c r="AD206" s="11" t="n"/>
      <c r="AE206" s="10" t="n"/>
      <c r="AF206" s="10" t="n"/>
      <c r="AG206" s="10" t="n"/>
      <c r="AH206" s="10" t="n"/>
      <c r="AI206" s="10" t="n"/>
      <c r="AJ206" s="10" t="n"/>
      <c r="AK206" s="11" t="n"/>
      <c r="AL206" s="11" t="n"/>
      <c r="AM206" s="11" t="n"/>
      <c r="AN206" s="11" t="n"/>
      <c r="AO206" s="11" t="n"/>
      <c r="AP206" s="11" t="n"/>
      <c r="AQ206" s="11" t="n"/>
      <c r="AR206" s="10" t="n"/>
      <c r="AS206" s="11" t="n"/>
      <c r="AT206" s="11" t="n"/>
    </row>
    <row r="207">
      <c r="A207" s="10" t="n"/>
      <c r="B207" s="10" t="n"/>
      <c r="C207" s="11" t="n"/>
      <c r="D207" s="10" t="n"/>
      <c r="E207" s="11" t="n"/>
      <c r="F207" s="11" t="n"/>
      <c r="G207" s="11" t="n"/>
      <c r="H207" s="11" t="n"/>
      <c r="I207" s="10" t="n"/>
      <c r="J207" s="11" t="n"/>
      <c r="K207" s="11" t="n"/>
      <c r="L207" s="11" t="n"/>
      <c r="M207" s="11" t="n"/>
      <c r="N207" s="11" t="n"/>
      <c r="O207" s="12" t="n"/>
      <c r="P207" s="12" t="n"/>
      <c r="Q207" s="12" t="n"/>
      <c r="R207" s="11" t="n"/>
      <c r="S207" s="13" t="n"/>
      <c r="T207" s="10" t="n"/>
      <c r="U207" s="11" t="n"/>
      <c r="V207" s="11" t="n"/>
      <c r="W207" s="11" t="n"/>
      <c r="X207" s="11" t="n"/>
      <c r="Y207" s="10" t="n"/>
      <c r="Z207" s="10" t="n"/>
      <c r="AA207" s="14">
        <f>IF(AND(N(Y207)&gt;0,N(Z207)&gt;0),ROUND(43560/(Y207*Z207),0),"")</f>
        <v/>
      </c>
      <c r="AB207" s="10" t="n"/>
      <c r="AC207" s="10" t="n"/>
      <c r="AD207" s="11" t="n"/>
      <c r="AE207" s="10" t="n"/>
      <c r="AF207" s="10" t="n"/>
      <c r="AG207" s="10" t="n"/>
      <c r="AH207" s="10" t="n"/>
      <c r="AI207" s="10" t="n"/>
      <c r="AJ207" s="10" t="n"/>
      <c r="AK207" s="11" t="n"/>
      <c r="AL207" s="11" t="n"/>
      <c r="AM207" s="11" t="n"/>
      <c r="AN207" s="11" t="n"/>
      <c r="AO207" s="11" t="n"/>
      <c r="AP207" s="11" t="n"/>
      <c r="AQ207" s="11" t="n"/>
      <c r="AR207" s="10" t="n"/>
      <c r="AS207" s="11" t="n"/>
      <c r="AT207" s="11" t="n"/>
    </row>
    <row r="208">
      <c r="A208" s="10" t="n"/>
      <c r="B208" s="10" t="n"/>
      <c r="C208" s="11" t="n"/>
      <c r="D208" s="10" t="n"/>
      <c r="E208" s="11" t="n"/>
      <c r="F208" s="11" t="n"/>
      <c r="G208" s="11" t="n"/>
      <c r="H208" s="11" t="n"/>
      <c r="I208" s="10" t="n"/>
      <c r="J208" s="11" t="n"/>
      <c r="K208" s="11" t="n"/>
      <c r="L208" s="11" t="n"/>
      <c r="M208" s="11" t="n"/>
      <c r="N208" s="11" t="n"/>
      <c r="O208" s="12" t="n"/>
      <c r="P208" s="12" t="n"/>
      <c r="Q208" s="12" t="n"/>
      <c r="R208" s="11" t="n"/>
      <c r="S208" s="13" t="n"/>
      <c r="T208" s="10" t="n"/>
      <c r="U208" s="11" t="n"/>
      <c r="V208" s="11" t="n"/>
      <c r="W208" s="11" t="n"/>
      <c r="X208" s="11" t="n"/>
      <c r="Y208" s="10" t="n"/>
      <c r="Z208" s="10" t="n"/>
      <c r="AA208" s="14">
        <f>IF(AND(N(Y208)&gt;0,N(Z208)&gt;0),ROUND(43560/(Y208*Z208),0),"")</f>
        <v/>
      </c>
      <c r="AB208" s="10" t="n"/>
      <c r="AC208" s="10" t="n"/>
      <c r="AD208" s="11" t="n"/>
      <c r="AE208" s="10" t="n"/>
      <c r="AF208" s="10" t="n"/>
      <c r="AG208" s="10" t="n"/>
      <c r="AH208" s="10" t="n"/>
      <c r="AI208" s="10" t="n"/>
      <c r="AJ208" s="10" t="n"/>
      <c r="AK208" s="11" t="n"/>
      <c r="AL208" s="11" t="n"/>
      <c r="AM208" s="11" t="n"/>
      <c r="AN208" s="11" t="n"/>
      <c r="AO208" s="11" t="n"/>
      <c r="AP208" s="11" t="n"/>
      <c r="AQ208" s="11" t="n"/>
      <c r="AR208" s="10" t="n"/>
      <c r="AS208" s="11" t="n"/>
      <c r="AT208" s="11" t="n"/>
    </row>
    <row r="209">
      <c r="A209" s="10" t="n"/>
      <c r="B209" s="10" t="n"/>
      <c r="C209" s="11" t="n"/>
      <c r="D209" s="10" t="n"/>
      <c r="E209" s="11" t="n"/>
      <c r="F209" s="11" t="n"/>
      <c r="G209" s="11" t="n"/>
      <c r="H209" s="11" t="n"/>
      <c r="I209" s="10" t="n"/>
      <c r="J209" s="11" t="n"/>
      <c r="K209" s="11" t="n"/>
      <c r="L209" s="11" t="n"/>
      <c r="M209" s="11" t="n"/>
      <c r="N209" s="11" t="n"/>
      <c r="O209" s="12" t="n"/>
      <c r="P209" s="12" t="n"/>
      <c r="Q209" s="12" t="n"/>
      <c r="R209" s="11" t="n"/>
      <c r="S209" s="13" t="n"/>
      <c r="T209" s="10" t="n"/>
      <c r="U209" s="11" t="n"/>
      <c r="V209" s="11" t="n"/>
      <c r="W209" s="11" t="n"/>
      <c r="X209" s="11" t="n"/>
      <c r="Y209" s="10" t="n"/>
      <c r="Z209" s="10" t="n"/>
      <c r="AA209" s="14">
        <f>IF(AND(N(Y209)&gt;0,N(Z209)&gt;0),ROUND(43560/(Y209*Z209),0),"")</f>
        <v/>
      </c>
      <c r="AB209" s="10" t="n"/>
      <c r="AC209" s="10" t="n"/>
      <c r="AD209" s="11" t="n"/>
      <c r="AE209" s="10" t="n"/>
      <c r="AF209" s="10" t="n"/>
      <c r="AG209" s="10" t="n"/>
      <c r="AH209" s="10" t="n"/>
      <c r="AI209" s="10" t="n"/>
      <c r="AJ209" s="10" t="n"/>
      <c r="AK209" s="11" t="n"/>
      <c r="AL209" s="11" t="n"/>
      <c r="AM209" s="11" t="n"/>
      <c r="AN209" s="11" t="n"/>
      <c r="AO209" s="11" t="n"/>
      <c r="AP209" s="11" t="n"/>
      <c r="AQ209" s="11" t="n"/>
      <c r="AR209" s="10" t="n"/>
      <c r="AS209" s="11" t="n"/>
      <c r="AT209" s="11" t="n"/>
    </row>
    <row r="210">
      <c r="A210" s="10" t="n"/>
      <c r="B210" s="10" t="n"/>
      <c r="C210" s="11" t="n"/>
      <c r="D210" s="10" t="n"/>
      <c r="E210" s="11" t="n"/>
      <c r="F210" s="11" t="n"/>
      <c r="G210" s="11" t="n"/>
      <c r="H210" s="11" t="n"/>
      <c r="I210" s="10" t="n"/>
      <c r="J210" s="11" t="n"/>
      <c r="K210" s="11" t="n"/>
      <c r="L210" s="11" t="n"/>
      <c r="M210" s="11" t="n"/>
      <c r="N210" s="11" t="n"/>
      <c r="O210" s="12" t="n"/>
      <c r="P210" s="12" t="n"/>
      <c r="Q210" s="12" t="n"/>
      <c r="R210" s="11" t="n"/>
      <c r="S210" s="13" t="n"/>
      <c r="T210" s="10" t="n"/>
      <c r="U210" s="11" t="n"/>
      <c r="V210" s="11" t="n"/>
      <c r="W210" s="11" t="n"/>
      <c r="X210" s="11" t="n"/>
      <c r="Y210" s="10" t="n"/>
      <c r="Z210" s="10" t="n"/>
      <c r="AA210" s="14">
        <f>IF(AND(N(Y210)&gt;0,N(Z210)&gt;0),ROUND(43560/(Y210*Z210),0),"")</f>
        <v/>
      </c>
      <c r="AB210" s="10" t="n"/>
      <c r="AC210" s="10" t="n"/>
      <c r="AD210" s="11" t="n"/>
      <c r="AE210" s="10" t="n"/>
      <c r="AF210" s="10" t="n"/>
      <c r="AG210" s="10" t="n"/>
      <c r="AH210" s="10" t="n"/>
      <c r="AI210" s="10" t="n"/>
      <c r="AJ210" s="10" t="n"/>
      <c r="AK210" s="11" t="n"/>
      <c r="AL210" s="11" t="n"/>
      <c r="AM210" s="11" t="n"/>
      <c r="AN210" s="11" t="n"/>
      <c r="AO210" s="11" t="n"/>
      <c r="AP210" s="11" t="n"/>
      <c r="AQ210" s="11" t="n"/>
      <c r="AR210" s="10" t="n"/>
      <c r="AS210" s="11" t="n"/>
      <c r="AT210" s="11" t="n"/>
    </row>
    <row r="211">
      <c r="A211" s="10" t="n"/>
      <c r="B211" s="10" t="n"/>
      <c r="C211" s="11" t="n"/>
      <c r="D211" s="10" t="n"/>
      <c r="E211" s="11" t="n"/>
      <c r="F211" s="11" t="n"/>
      <c r="G211" s="11" t="n"/>
      <c r="H211" s="11" t="n"/>
      <c r="I211" s="10" t="n"/>
      <c r="J211" s="11" t="n"/>
      <c r="K211" s="11" t="n"/>
      <c r="L211" s="11" t="n"/>
      <c r="M211" s="11" t="n"/>
      <c r="N211" s="11" t="n"/>
      <c r="O211" s="12" t="n"/>
      <c r="P211" s="12" t="n"/>
      <c r="Q211" s="12" t="n"/>
      <c r="R211" s="11" t="n"/>
      <c r="S211" s="13" t="n"/>
      <c r="T211" s="10" t="n"/>
      <c r="U211" s="11" t="n"/>
      <c r="V211" s="11" t="n"/>
      <c r="W211" s="11" t="n"/>
      <c r="X211" s="11" t="n"/>
      <c r="Y211" s="10" t="n"/>
      <c r="Z211" s="10" t="n"/>
      <c r="AA211" s="14">
        <f>IF(AND(N(Y211)&gt;0,N(Z211)&gt;0),ROUND(43560/(Y211*Z211),0),"")</f>
        <v/>
      </c>
      <c r="AB211" s="10" t="n"/>
      <c r="AC211" s="10" t="n"/>
      <c r="AD211" s="11" t="n"/>
      <c r="AE211" s="10" t="n"/>
      <c r="AF211" s="10" t="n"/>
      <c r="AG211" s="10" t="n"/>
      <c r="AH211" s="10" t="n"/>
      <c r="AI211" s="10" t="n"/>
      <c r="AJ211" s="10" t="n"/>
      <c r="AK211" s="11" t="n"/>
      <c r="AL211" s="11" t="n"/>
      <c r="AM211" s="11" t="n"/>
      <c r="AN211" s="11" t="n"/>
      <c r="AO211" s="11" t="n"/>
      <c r="AP211" s="11" t="n"/>
      <c r="AQ211" s="11" t="n"/>
      <c r="AR211" s="10" t="n"/>
      <c r="AS211" s="11" t="n"/>
      <c r="AT211" s="11" t="n"/>
    </row>
    <row r="212">
      <c r="A212" s="10" t="n"/>
      <c r="B212" s="10" t="n"/>
      <c r="C212" s="11" t="n"/>
      <c r="D212" s="10" t="n"/>
      <c r="E212" s="11" t="n"/>
      <c r="F212" s="11" t="n"/>
      <c r="G212" s="11" t="n"/>
      <c r="H212" s="11" t="n"/>
      <c r="I212" s="10" t="n"/>
      <c r="J212" s="11" t="n"/>
      <c r="K212" s="11" t="n"/>
      <c r="L212" s="11" t="n"/>
      <c r="M212" s="11" t="n"/>
      <c r="N212" s="11" t="n"/>
      <c r="O212" s="12" t="n"/>
      <c r="P212" s="12" t="n"/>
      <c r="Q212" s="12" t="n"/>
      <c r="R212" s="11" t="n"/>
      <c r="S212" s="13" t="n"/>
      <c r="T212" s="10" t="n"/>
      <c r="U212" s="11" t="n"/>
      <c r="V212" s="11" t="n"/>
      <c r="W212" s="11" t="n"/>
      <c r="X212" s="11" t="n"/>
      <c r="Y212" s="10" t="n"/>
      <c r="Z212" s="10" t="n"/>
      <c r="AA212" s="14">
        <f>IF(AND(N(Y212)&gt;0,N(Z212)&gt;0),ROUND(43560/(Y212*Z212),0),"")</f>
        <v/>
      </c>
      <c r="AB212" s="10" t="n"/>
      <c r="AC212" s="10" t="n"/>
      <c r="AD212" s="11" t="n"/>
      <c r="AE212" s="10" t="n"/>
      <c r="AF212" s="10" t="n"/>
      <c r="AG212" s="10" t="n"/>
      <c r="AH212" s="10" t="n"/>
      <c r="AI212" s="10" t="n"/>
      <c r="AJ212" s="10" t="n"/>
      <c r="AK212" s="11" t="n"/>
      <c r="AL212" s="11" t="n"/>
      <c r="AM212" s="11" t="n"/>
      <c r="AN212" s="11" t="n"/>
      <c r="AO212" s="11" t="n"/>
      <c r="AP212" s="11" t="n"/>
      <c r="AQ212" s="11" t="n"/>
      <c r="AR212" s="10" t="n"/>
      <c r="AS212" s="11" t="n"/>
      <c r="AT212" s="11" t="n"/>
    </row>
    <row r="213">
      <c r="A213" s="10" t="n"/>
      <c r="B213" s="10" t="n"/>
      <c r="C213" s="11" t="n"/>
      <c r="D213" s="10" t="n"/>
      <c r="E213" s="11" t="n"/>
      <c r="F213" s="11" t="n"/>
      <c r="G213" s="11" t="n"/>
      <c r="H213" s="11" t="n"/>
      <c r="I213" s="10" t="n"/>
      <c r="J213" s="11" t="n"/>
      <c r="K213" s="11" t="n"/>
      <c r="L213" s="11" t="n"/>
      <c r="M213" s="11" t="n"/>
      <c r="N213" s="11" t="n"/>
      <c r="O213" s="12" t="n"/>
      <c r="P213" s="12" t="n"/>
      <c r="Q213" s="12" t="n"/>
      <c r="R213" s="11" t="n"/>
      <c r="S213" s="13" t="n"/>
      <c r="T213" s="10" t="n"/>
      <c r="U213" s="11" t="n"/>
      <c r="V213" s="11" t="n"/>
      <c r="W213" s="11" t="n"/>
      <c r="X213" s="11" t="n"/>
      <c r="Y213" s="10" t="n"/>
      <c r="Z213" s="10" t="n"/>
      <c r="AA213" s="14">
        <f>IF(AND(N(Y213)&gt;0,N(Z213)&gt;0),ROUND(43560/(Y213*Z213),0),"")</f>
        <v/>
      </c>
      <c r="AB213" s="10" t="n"/>
      <c r="AC213" s="10" t="n"/>
      <c r="AD213" s="11" t="n"/>
      <c r="AE213" s="10" t="n"/>
      <c r="AF213" s="10" t="n"/>
      <c r="AG213" s="10" t="n"/>
      <c r="AH213" s="10" t="n"/>
      <c r="AI213" s="10" t="n"/>
      <c r="AJ213" s="10" t="n"/>
      <c r="AK213" s="11" t="n"/>
      <c r="AL213" s="11" t="n"/>
      <c r="AM213" s="11" t="n"/>
      <c r="AN213" s="11" t="n"/>
      <c r="AO213" s="11" t="n"/>
      <c r="AP213" s="11" t="n"/>
      <c r="AQ213" s="11" t="n"/>
      <c r="AR213" s="10" t="n"/>
      <c r="AS213" s="11" t="n"/>
      <c r="AT213" s="11" t="n"/>
    </row>
    <row r="214">
      <c r="A214" s="10" t="n"/>
      <c r="B214" s="10" t="n"/>
      <c r="C214" s="11" t="n"/>
      <c r="D214" s="10" t="n"/>
      <c r="E214" s="11" t="n"/>
      <c r="F214" s="11" t="n"/>
      <c r="G214" s="11" t="n"/>
      <c r="H214" s="11" t="n"/>
      <c r="I214" s="10" t="n"/>
      <c r="J214" s="11" t="n"/>
      <c r="K214" s="11" t="n"/>
      <c r="L214" s="11" t="n"/>
      <c r="M214" s="11" t="n"/>
      <c r="N214" s="11" t="n"/>
      <c r="O214" s="12" t="n"/>
      <c r="P214" s="12" t="n"/>
      <c r="Q214" s="12" t="n"/>
      <c r="R214" s="11" t="n"/>
      <c r="S214" s="13" t="n"/>
      <c r="T214" s="10" t="n"/>
      <c r="U214" s="11" t="n"/>
      <c r="V214" s="11" t="n"/>
      <c r="W214" s="11" t="n"/>
      <c r="X214" s="11" t="n"/>
      <c r="Y214" s="10" t="n"/>
      <c r="Z214" s="10" t="n"/>
      <c r="AA214" s="14">
        <f>IF(AND(N(Y214)&gt;0,N(Z214)&gt;0),ROUND(43560/(Y214*Z214),0),"")</f>
        <v/>
      </c>
      <c r="AB214" s="10" t="n"/>
      <c r="AC214" s="10" t="n"/>
      <c r="AD214" s="11" t="n"/>
      <c r="AE214" s="10" t="n"/>
      <c r="AF214" s="10" t="n"/>
      <c r="AG214" s="10" t="n"/>
      <c r="AH214" s="10" t="n"/>
      <c r="AI214" s="10" t="n"/>
      <c r="AJ214" s="10" t="n"/>
      <c r="AK214" s="11" t="n"/>
      <c r="AL214" s="11" t="n"/>
      <c r="AM214" s="11" t="n"/>
      <c r="AN214" s="11" t="n"/>
      <c r="AO214" s="11" t="n"/>
      <c r="AP214" s="11" t="n"/>
      <c r="AQ214" s="11" t="n"/>
      <c r="AR214" s="10" t="n"/>
      <c r="AS214" s="11" t="n"/>
      <c r="AT214" s="11" t="n"/>
    </row>
    <row r="215">
      <c r="A215" s="10" t="n"/>
      <c r="B215" s="10" t="n"/>
      <c r="C215" s="11" t="n"/>
      <c r="D215" s="10" t="n"/>
      <c r="E215" s="11" t="n"/>
      <c r="F215" s="11" t="n"/>
      <c r="G215" s="11" t="n"/>
      <c r="H215" s="11" t="n"/>
      <c r="I215" s="10" t="n"/>
      <c r="J215" s="11" t="n"/>
      <c r="K215" s="11" t="n"/>
      <c r="L215" s="11" t="n"/>
      <c r="M215" s="11" t="n"/>
      <c r="N215" s="11" t="n"/>
      <c r="O215" s="12" t="n"/>
      <c r="P215" s="12" t="n"/>
      <c r="Q215" s="12" t="n"/>
      <c r="R215" s="11" t="n"/>
      <c r="S215" s="13" t="n"/>
      <c r="T215" s="10" t="n"/>
      <c r="U215" s="11" t="n"/>
      <c r="V215" s="11" t="n"/>
      <c r="W215" s="11" t="n"/>
      <c r="X215" s="11" t="n"/>
      <c r="Y215" s="10" t="n"/>
      <c r="Z215" s="10" t="n"/>
      <c r="AA215" s="14">
        <f>IF(AND(N(Y215)&gt;0,N(Z215)&gt;0),ROUND(43560/(Y215*Z215),0),"")</f>
        <v/>
      </c>
      <c r="AB215" s="10" t="n"/>
      <c r="AC215" s="10" t="n"/>
      <c r="AD215" s="11" t="n"/>
      <c r="AE215" s="10" t="n"/>
      <c r="AF215" s="10" t="n"/>
      <c r="AG215" s="10" t="n"/>
      <c r="AH215" s="10" t="n"/>
      <c r="AI215" s="10" t="n"/>
      <c r="AJ215" s="10" t="n"/>
      <c r="AK215" s="11" t="n"/>
      <c r="AL215" s="11" t="n"/>
      <c r="AM215" s="11" t="n"/>
      <c r="AN215" s="11" t="n"/>
      <c r="AO215" s="11" t="n"/>
      <c r="AP215" s="11" t="n"/>
      <c r="AQ215" s="11" t="n"/>
      <c r="AR215" s="10" t="n"/>
      <c r="AS215" s="11" t="n"/>
      <c r="AT215" s="11" t="n"/>
    </row>
    <row r="216">
      <c r="A216" s="10" t="n"/>
      <c r="B216" s="10" t="n"/>
      <c r="C216" s="11" t="n"/>
      <c r="D216" s="10" t="n"/>
      <c r="E216" s="11" t="n"/>
      <c r="F216" s="11" t="n"/>
      <c r="G216" s="11" t="n"/>
      <c r="H216" s="11" t="n"/>
      <c r="I216" s="10" t="n"/>
      <c r="J216" s="11" t="n"/>
      <c r="K216" s="11" t="n"/>
      <c r="L216" s="11" t="n"/>
      <c r="M216" s="11" t="n"/>
      <c r="N216" s="11" t="n"/>
      <c r="O216" s="12" t="n"/>
      <c r="P216" s="12" t="n"/>
      <c r="Q216" s="12" t="n"/>
      <c r="R216" s="11" t="n"/>
      <c r="S216" s="13" t="n"/>
      <c r="T216" s="10" t="n"/>
      <c r="U216" s="11" t="n"/>
      <c r="V216" s="11" t="n"/>
      <c r="W216" s="11" t="n"/>
      <c r="X216" s="11" t="n"/>
      <c r="Y216" s="10" t="n"/>
      <c r="Z216" s="10" t="n"/>
      <c r="AA216" s="14">
        <f>IF(AND(N(Y216)&gt;0,N(Z216)&gt;0),ROUND(43560/(Y216*Z216),0),"")</f>
        <v/>
      </c>
      <c r="AB216" s="10" t="n"/>
      <c r="AC216" s="10" t="n"/>
      <c r="AD216" s="11" t="n"/>
      <c r="AE216" s="10" t="n"/>
      <c r="AF216" s="10" t="n"/>
      <c r="AG216" s="10" t="n"/>
      <c r="AH216" s="10" t="n"/>
      <c r="AI216" s="10" t="n"/>
      <c r="AJ216" s="10" t="n"/>
      <c r="AK216" s="11" t="n"/>
      <c r="AL216" s="11" t="n"/>
      <c r="AM216" s="11" t="n"/>
      <c r="AN216" s="11" t="n"/>
      <c r="AO216" s="11" t="n"/>
      <c r="AP216" s="11" t="n"/>
      <c r="AQ216" s="11" t="n"/>
      <c r="AR216" s="10" t="n"/>
      <c r="AS216" s="11" t="n"/>
      <c r="AT216" s="11" t="n"/>
    </row>
    <row r="217">
      <c r="A217" s="10" t="n"/>
      <c r="B217" s="10" t="n"/>
      <c r="C217" s="11" t="n"/>
      <c r="D217" s="10" t="n"/>
      <c r="E217" s="11" t="n"/>
      <c r="F217" s="11" t="n"/>
      <c r="G217" s="11" t="n"/>
      <c r="H217" s="11" t="n"/>
      <c r="I217" s="10" t="n"/>
      <c r="J217" s="11" t="n"/>
      <c r="K217" s="11" t="n"/>
      <c r="L217" s="11" t="n"/>
      <c r="M217" s="11" t="n"/>
      <c r="N217" s="11" t="n"/>
      <c r="O217" s="12" t="n"/>
      <c r="P217" s="12" t="n"/>
      <c r="Q217" s="12" t="n"/>
      <c r="R217" s="11" t="n"/>
      <c r="S217" s="13" t="n"/>
      <c r="T217" s="10" t="n"/>
      <c r="U217" s="11" t="n"/>
      <c r="V217" s="11" t="n"/>
      <c r="W217" s="11" t="n"/>
      <c r="X217" s="11" t="n"/>
      <c r="Y217" s="10" t="n"/>
      <c r="Z217" s="10" t="n"/>
      <c r="AA217" s="14">
        <f>IF(AND(N(Y217)&gt;0,N(Z217)&gt;0),ROUND(43560/(Y217*Z217),0),"")</f>
        <v/>
      </c>
      <c r="AB217" s="10" t="n"/>
      <c r="AC217" s="10" t="n"/>
      <c r="AD217" s="11" t="n"/>
      <c r="AE217" s="10" t="n"/>
      <c r="AF217" s="10" t="n"/>
      <c r="AG217" s="10" t="n"/>
      <c r="AH217" s="10" t="n"/>
      <c r="AI217" s="10" t="n"/>
      <c r="AJ217" s="10" t="n"/>
      <c r="AK217" s="11" t="n"/>
      <c r="AL217" s="11" t="n"/>
      <c r="AM217" s="11" t="n"/>
      <c r="AN217" s="11" t="n"/>
      <c r="AO217" s="11" t="n"/>
      <c r="AP217" s="11" t="n"/>
      <c r="AQ217" s="11" t="n"/>
      <c r="AR217" s="10" t="n"/>
      <c r="AS217" s="11" t="n"/>
      <c r="AT217" s="11" t="n"/>
    </row>
    <row r="218">
      <c r="A218" s="10" t="n"/>
      <c r="B218" s="10" t="n"/>
      <c r="C218" s="11" t="n"/>
      <c r="D218" s="10" t="n"/>
      <c r="E218" s="11" t="n"/>
      <c r="F218" s="11" t="n"/>
      <c r="G218" s="11" t="n"/>
      <c r="H218" s="11" t="n"/>
      <c r="I218" s="10" t="n"/>
      <c r="J218" s="11" t="n"/>
      <c r="K218" s="11" t="n"/>
      <c r="L218" s="11" t="n"/>
      <c r="M218" s="11" t="n"/>
      <c r="N218" s="11" t="n"/>
      <c r="O218" s="12" t="n"/>
      <c r="P218" s="12" t="n"/>
      <c r="Q218" s="12" t="n"/>
      <c r="R218" s="11" t="n"/>
      <c r="S218" s="13" t="n"/>
      <c r="T218" s="10" t="n"/>
      <c r="U218" s="11" t="n"/>
      <c r="V218" s="11" t="n"/>
      <c r="W218" s="11" t="n"/>
      <c r="X218" s="11" t="n"/>
      <c r="Y218" s="10" t="n"/>
      <c r="Z218" s="10" t="n"/>
      <c r="AA218" s="14">
        <f>IF(AND(N(Y218)&gt;0,N(Z218)&gt;0),ROUND(43560/(Y218*Z218),0),"")</f>
        <v/>
      </c>
      <c r="AB218" s="10" t="n"/>
      <c r="AC218" s="10" t="n"/>
      <c r="AD218" s="11" t="n"/>
      <c r="AE218" s="10" t="n"/>
      <c r="AF218" s="10" t="n"/>
      <c r="AG218" s="10" t="n"/>
      <c r="AH218" s="10" t="n"/>
      <c r="AI218" s="10" t="n"/>
      <c r="AJ218" s="10" t="n"/>
      <c r="AK218" s="11" t="n"/>
      <c r="AL218" s="11" t="n"/>
      <c r="AM218" s="11" t="n"/>
      <c r="AN218" s="11" t="n"/>
      <c r="AO218" s="11" t="n"/>
      <c r="AP218" s="11" t="n"/>
      <c r="AQ218" s="11" t="n"/>
      <c r="AR218" s="10" t="n"/>
      <c r="AS218" s="11" t="n"/>
      <c r="AT218" s="11" t="n"/>
    </row>
    <row r="219">
      <c r="A219" s="10" t="n"/>
      <c r="B219" s="10" t="n"/>
      <c r="C219" s="11" t="n"/>
      <c r="D219" s="10" t="n"/>
      <c r="E219" s="11" t="n"/>
      <c r="F219" s="11" t="n"/>
      <c r="G219" s="11" t="n"/>
      <c r="H219" s="11" t="n"/>
      <c r="I219" s="10" t="n"/>
      <c r="J219" s="11" t="n"/>
      <c r="K219" s="11" t="n"/>
      <c r="L219" s="11" t="n"/>
      <c r="M219" s="11" t="n"/>
      <c r="N219" s="11" t="n"/>
      <c r="O219" s="12" t="n"/>
      <c r="P219" s="12" t="n"/>
      <c r="Q219" s="12" t="n"/>
      <c r="R219" s="11" t="n"/>
      <c r="S219" s="13" t="n"/>
      <c r="T219" s="10" t="n"/>
      <c r="U219" s="11" t="n"/>
      <c r="V219" s="11" t="n"/>
      <c r="W219" s="11" t="n"/>
      <c r="X219" s="11" t="n"/>
      <c r="Y219" s="10" t="n"/>
      <c r="Z219" s="10" t="n"/>
      <c r="AA219" s="14">
        <f>IF(AND(N(Y219)&gt;0,N(Z219)&gt;0),ROUND(43560/(Y219*Z219),0),"")</f>
        <v/>
      </c>
      <c r="AB219" s="10" t="n"/>
      <c r="AC219" s="10" t="n"/>
      <c r="AD219" s="11" t="n"/>
      <c r="AE219" s="10" t="n"/>
      <c r="AF219" s="10" t="n"/>
      <c r="AG219" s="10" t="n"/>
      <c r="AH219" s="10" t="n"/>
      <c r="AI219" s="10" t="n"/>
      <c r="AJ219" s="10" t="n"/>
      <c r="AK219" s="11" t="n"/>
      <c r="AL219" s="11" t="n"/>
      <c r="AM219" s="11" t="n"/>
      <c r="AN219" s="11" t="n"/>
      <c r="AO219" s="11" t="n"/>
      <c r="AP219" s="11" t="n"/>
      <c r="AQ219" s="11" t="n"/>
      <c r="AR219" s="10" t="n"/>
      <c r="AS219" s="11" t="n"/>
      <c r="AT219" s="11" t="n"/>
    </row>
    <row r="220">
      <c r="A220" s="10" t="n"/>
      <c r="B220" s="10" t="n"/>
      <c r="C220" s="11" t="n"/>
      <c r="D220" s="10" t="n"/>
      <c r="E220" s="11" t="n"/>
      <c r="F220" s="11" t="n"/>
      <c r="G220" s="11" t="n"/>
      <c r="H220" s="11" t="n"/>
      <c r="I220" s="10" t="n"/>
      <c r="J220" s="11" t="n"/>
      <c r="K220" s="11" t="n"/>
      <c r="L220" s="11" t="n"/>
      <c r="M220" s="11" t="n"/>
      <c r="N220" s="11" t="n"/>
      <c r="O220" s="12" t="n"/>
      <c r="P220" s="12" t="n"/>
      <c r="Q220" s="12" t="n"/>
      <c r="R220" s="11" t="n"/>
      <c r="S220" s="13" t="n"/>
      <c r="T220" s="10" t="n"/>
      <c r="U220" s="11" t="n"/>
      <c r="V220" s="11" t="n"/>
      <c r="W220" s="11" t="n"/>
      <c r="X220" s="11" t="n"/>
      <c r="Y220" s="10" t="n"/>
      <c r="Z220" s="10" t="n"/>
      <c r="AA220" s="14">
        <f>IF(AND(N(Y220)&gt;0,N(Z220)&gt;0),ROUND(43560/(Y220*Z220),0),"")</f>
        <v/>
      </c>
      <c r="AB220" s="10" t="n"/>
      <c r="AC220" s="10" t="n"/>
      <c r="AD220" s="11" t="n"/>
      <c r="AE220" s="10" t="n"/>
      <c r="AF220" s="10" t="n"/>
      <c r="AG220" s="10" t="n"/>
      <c r="AH220" s="10" t="n"/>
      <c r="AI220" s="10" t="n"/>
      <c r="AJ220" s="10" t="n"/>
      <c r="AK220" s="11" t="n"/>
      <c r="AL220" s="11" t="n"/>
      <c r="AM220" s="11" t="n"/>
      <c r="AN220" s="11" t="n"/>
      <c r="AO220" s="11" t="n"/>
      <c r="AP220" s="11" t="n"/>
      <c r="AQ220" s="11" t="n"/>
      <c r="AR220" s="10" t="n"/>
      <c r="AS220" s="11" t="n"/>
      <c r="AT220" s="11" t="n"/>
    </row>
    <row r="221">
      <c r="A221" s="10" t="n"/>
      <c r="B221" s="10" t="n"/>
      <c r="C221" s="11" t="n"/>
      <c r="D221" s="10" t="n"/>
      <c r="E221" s="11" t="n"/>
      <c r="F221" s="11" t="n"/>
      <c r="G221" s="11" t="n"/>
      <c r="H221" s="11" t="n"/>
      <c r="I221" s="10" t="n"/>
      <c r="J221" s="11" t="n"/>
      <c r="K221" s="11" t="n"/>
      <c r="L221" s="11" t="n"/>
      <c r="M221" s="11" t="n"/>
      <c r="N221" s="11" t="n"/>
      <c r="O221" s="12" t="n"/>
      <c r="P221" s="12" t="n"/>
      <c r="Q221" s="12" t="n"/>
      <c r="R221" s="11" t="n"/>
      <c r="S221" s="13" t="n"/>
      <c r="T221" s="10" t="n"/>
      <c r="U221" s="11" t="n"/>
      <c r="V221" s="11" t="n"/>
      <c r="W221" s="11" t="n"/>
      <c r="X221" s="11" t="n"/>
      <c r="Y221" s="10" t="n"/>
      <c r="Z221" s="10" t="n"/>
      <c r="AA221" s="14">
        <f>IF(AND(N(Y221)&gt;0,N(Z221)&gt;0),ROUND(43560/(Y221*Z221),0),"")</f>
        <v/>
      </c>
      <c r="AB221" s="10" t="n"/>
      <c r="AC221" s="10" t="n"/>
      <c r="AD221" s="11" t="n"/>
      <c r="AE221" s="10" t="n"/>
      <c r="AF221" s="10" t="n"/>
      <c r="AG221" s="10" t="n"/>
      <c r="AH221" s="10" t="n"/>
      <c r="AI221" s="10" t="n"/>
      <c r="AJ221" s="10" t="n"/>
      <c r="AK221" s="11" t="n"/>
      <c r="AL221" s="11" t="n"/>
      <c r="AM221" s="11" t="n"/>
      <c r="AN221" s="11" t="n"/>
      <c r="AO221" s="11" t="n"/>
      <c r="AP221" s="11" t="n"/>
      <c r="AQ221" s="11" t="n"/>
      <c r="AR221" s="10" t="n"/>
      <c r="AS221" s="11" t="n"/>
      <c r="AT221" s="11" t="n"/>
    </row>
    <row r="222">
      <c r="A222" s="10" t="n"/>
      <c r="B222" s="10" t="n"/>
      <c r="C222" s="11" t="n"/>
      <c r="D222" s="10" t="n"/>
      <c r="E222" s="11" t="n"/>
      <c r="F222" s="11" t="n"/>
      <c r="G222" s="11" t="n"/>
      <c r="H222" s="11" t="n"/>
      <c r="I222" s="10" t="n"/>
      <c r="J222" s="11" t="n"/>
      <c r="K222" s="11" t="n"/>
      <c r="L222" s="11" t="n"/>
      <c r="M222" s="11" t="n"/>
      <c r="N222" s="11" t="n"/>
      <c r="O222" s="12" t="n"/>
      <c r="P222" s="12" t="n"/>
      <c r="Q222" s="12" t="n"/>
      <c r="R222" s="11" t="n"/>
      <c r="S222" s="13" t="n"/>
      <c r="T222" s="10" t="n"/>
      <c r="U222" s="11" t="n"/>
      <c r="V222" s="11" t="n"/>
      <c r="W222" s="11" t="n"/>
      <c r="X222" s="11" t="n"/>
      <c r="Y222" s="10" t="n"/>
      <c r="Z222" s="10" t="n"/>
      <c r="AA222" s="14">
        <f>IF(AND(N(Y222)&gt;0,N(Z222)&gt;0),ROUND(43560/(Y222*Z222),0),"")</f>
        <v/>
      </c>
      <c r="AB222" s="10" t="n"/>
      <c r="AC222" s="10" t="n"/>
      <c r="AD222" s="11" t="n"/>
      <c r="AE222" s="10" t="n"/>
      <c r="AF222" s="10" t="n"/>
      <c r="AG222" s="10" t="n"/>
      <c r="AH222" s="10" t="n"/>
      <c r="AI222" s="10" t="n"/>
      <c r="AJ222" s="10" t="n"/>
      <c r="AK222" s="11" t="n"/>
      <c r="AL222" s="11" t="n"/>
      <c r="AM222" s="11" t="n"/>
      <c r="AN222" s="11" t="n"/>
      <c r="AO222" s="11" t="n"/>
      <c r="AP222" s="11" t="n"/>
      <c r="AQ222" s="11" t="n"/>
      <c r="AR222" s="10" t="n"/>
      <c r="AS222" s="11" t="n"/>
      <c r="AT222" s="11" t="n"/>
    </row>
    <row r="223">
      <c r="A223" s="10" t="n"/>
      <c r="B223" s="10" t="n"/>
      <c r="C223" s="11" t="n"/>
      <c r="D223" s="10" t="n"/>
      <c r="E223" s="11" t="n"/>
      <c r="F223" s="11" t="n"/>
      <c r="G223" s="11" t="n"/>
      <c r="H223" s="11" t="n"/>
      <c r="I223" s="10" t="n"/>
      <c r="J223" s="11" t="n"/>
      <c r="K223" s="11" t="n"/>
      <c r="L223" s="11" t="n"/>
      <c r="M223" s="11" t="n"/>
      <c r="N223" s="11" t="n"/>
      <c r="O223" s="12" t="n"/>
      <c r="P223" s="12" t="n"/>
      <c r="Q223" s="12" t="n"/>
      <c r="R223" s="11" t="n"/>
      <c r="S223" s="13" t="n"/>
      <c r="T223" s="10" t="n"/>
      <c r="U223" s="11" t="n"/>
      <c r="V223" s="11" t="n"/>
      <c r="W223" s="11" t="n"/>
      <c r="X223" s="11" t="n"/>
      <c r="Y223" s="10" t="n"/>
      <c r="Z223" s="10" t="n"/>
      <c r="AA223" s="14">
        <f>IF(AND(N(Y223)&gt;0,N(Z223)&gt;0),ROUND(43560/(Y223*Z223),0),"")</f>
        <v/>
      </c>
      <c r="AB223" s="10" t="n"/>
      <c r="AC223" s="10" t="n"/>
      <c r="AD223" s="11" t="n"/>
      <c r="AE223" s="10" t="n"/>
      <c r="AF223" s="10" t="n"/>
      <c r="AG223" s="10" t="n"/>
      <c r="AH223" s="10" t="n"/>
      <c r="AI223" s="10" t="n"/>
      <c r="AJ223" s="10" t="n"/>
      <c r="AK223" s="11" t="n"/>
      <c r="AL223" s="11" t="n"/>
      <c r="AM223" s="11" t="n"/>
      <c r="AN223" s="11" t="n"/>
      <c r="AO223" s="11" t="n"/>
      <c r="AP223" s="11" t="n"/>
      <c r="AQ223" s="11" t="n"/>
      <c r="AR223" s="10" t="n"/>
      <c r="AS223" s="11" t="n"/>
      <c r="AT223" s="11" t="n"/>
    </row>
    <row r="224">
      <c r="A224" s="10" t="n"/>
      <c r="B224" s="10" t="n"/>
      <c r="C224" s="11" t="n"/>
      <c r="D224" s="10" t="n"/>
      <c r="E224" s="11" t="n"/>
      <c r="F224" s="11" t="n"/>
      <c r="G224" s="11" t="n"/>
      <c r="H224" s="11" t="n"/>
      <c r="I224" s="10" t="n"/>
      <c r="J224" s="11" t="n"/>
      <c r="K224" s="11" t="n"/>
      <c r="L224" s="11" t="n"/>
      <c r="M224" s="11" t="n"/>
      <c r="N224" s="11" t="n"/>
      <c r="O224" s="12" t="n"/>
      <c r="P224" s="12" t="n"/>
      <c r="Q224" s="12" t="n"/>
      <c r="R224" s="11" t="n"/>
      <c r="S224" s="13" t="n"/>
      <c r="T224" s="10" t="n"/>
      <c r="U224" s="11" t="n"/>
      <c r="V224" s="11" t="n"/>
      <c r="W224" s="11" t="n"/>
      <c r="X224" s="11" t="n"/>
      <c r="Y224" s="10" t="n"/>
      <c r="Z224" s="10" t="n"/>
      <c r="AA224" s="14">
        <f>IF(AND(N(Y224)&gt;0,N(Z224)&gt;0),ROUND(43560/(Y224*Z224),0),"")</f>
        <v/>
      </c>
      <c r="AB224" s="10" t="n"/>
      <c r="AC224" s="10" t="n"/>
      <c r="AD224" s="11" t="n"/>
      <c r="AE224" s="10" t="n"/>
      <c r="AF224" s="10" t="n"/>
      <c r="AG224" s="10" t="n"/>
      <c r="AH224" s="10" t="n"/>
      <c r="AI224" s="10" t="n"/>
      <c r="AJ224" s="10" t="n"/>
      <c r="AK224" s="11" t="n"/>
      <c r="AL224" s="11" t="n"/>
      <c r="AM224" s="11" t="n"/>
      <c r="AN224" s="11" t="n"/>
      <c r="AO224" s="11" t="n"/>
      <c r="AP224" s="11" t="n"/>
      <c r="AQ224" s="11" t="n"/>
      <c r="AR224" s="10" t="n"/>
      <c r="AS224" s="11" t="n"/>
      <c r="AT224" s="11" t="n"/>
    </row>
    <row r="225">
      <c r="A225" s="10" t="n"/>
      <c r="B225" s="10" t="n"/>
      <c r="C225" s="11" t="n"/>
      <c r="D225" s="10" t="n"/>
      <c r="E225" s="11" t="n"/>
      <c r="F225" s="11" t="n"/>
      <c r="G225" s="11" t="n"/>
      <c r="H225" s="11" t="n"/>
      <c r="I225" s="10" t="n"/>
      <c r="J225" s="11" t="n"/>
      <c r="K225" s="11" t="n"/>
      <c r="L225" s="11" t="n"/>
      <c r="M225" s="11" t="n"/>
      <c r="N225" s="11" t="n"/>
      <c r="O225" s="12" t="n"/>
      <c r="P225" s="12" t="n"/>
      <c r="Q225" s="12" t="n"/>
      <c r="R225" s="11" t="n"/>
      <c r="S225" s="13" t="n"/>
      <c r="T225" s="10" t="n"/>
      <c r="U225" s="11" t="n"/>
      <c r="V225" s="11" t="n"/>
      <c r="W225" s="11" t="n"/>
      <c r="X225" s="11" t="n"/>
      <c r="Y225" s="10" t="n"/>
      <c r="Z225" s="10" t="n"/>
      <c r="AA225" s="14">
        <f>IF(AND(N(Y225)&gt;0,N(Z225)&gt;0),ROUND(43560/(Y225*Z225),0),"")</f>
        <v/>
      </c>
      <c r="AB225" s="10" t="n"/>
      <c r="AC225" s="10" t="n"/>
      <c r="AD225" s="11" t="n"/>
      <c r="AE225" s="10" t="n"/>
      <c r="AF225" s="10" t="n"/>
      <c r="AG225" s="10" t="n"/>
      <c r="AH225" s="10" t="n"/>
      <c r="AI225" s="10" t="n"/>
      <c r="AJ225" s="10" t="n"/>
      <c r="AK225" s="11" t="n"/>
      <c r="AL225" s="11" t="n"/>
      <c r="AM225" s="11" t="n"/>
      <c r="AN225" s="11" t="n"/>
      <c r="AO225" s="11" t="n"/>
      <c r="AP225" s="11" t="n"/>
      <c r="AQ225" s="11" t="n"/>
      <c r="AR225" s="10" t="n"/>
      <c r="AS225" s="11" t="n"/>
      <c r="AT225" s="11" t="n"/>
    </row>
    <row r="226">
      <c r="A226" s="10" t="n"/>
      <c r="B226" s="10" t="n"/>
      <c r="C226" s="11" t="n"/>
      <c r="D226" s="10" t="n"/>
      <c r="E226" s="11" t="n"/>
      <c r="F226" s="11" t="n"/>
      <c r="G226" s="11" t="n"/>
      <c r="H226" s="11" t="n"/>
      <c r="I226" s="10" t="n"/>
      <c r="J226" s="11" t="n"/>
      <c r="K226" s="11" t="n"/>
      <c r="L226" s="11" t="n"/>
      <c r="M226" s="11" t="n"/>
      <c r="N226" s="11" t="n"/>
      <c r="O226" s="12" t="n"/>
      <c r="P226" s="12" t="n"/>
      <c r="Q226" s="12" t="n"/>
      <c r="R226" s="11" t="n"/>
      <c r="S226" s="13" t="n"/>
      <c r="T226" s="10" t="n"/>
      <c r="U226" s="11" t="n"/>
      <c r="V226" s="11" t="n"/>
      <c r="W226" s="11" t="n"/>
      <c r="X226" s="11" t="n"/>
      <c r="Y226" s="10" t="n"/>
      <c r="Z226" s="10" t="n"/>
      <c r="AA226" s="14">
        <f>IF(AND(N(Y226)&gt;0,N(Z226)&gt;0),ROUND(43560/(Y226*Z226),0),"")</f>
        <v/>
      </c>
      <c r="AB226" s="10" t="n"/>
      <c r="AC226" s="10" t="n"/>
      <c r="AD226" s="11" t="n"/>
      <c r="AE226" s="10" t="n"/>
      <c r="AF226" s="10" t="n"/>
      <c r="AG226" s="10" t="n"/>
      <c r="AH226" s="10" t="n"/>
      <c r="AI226" s="10" t="n"/>
      <c r="AJ226" s="10" t="n"/>
      <c r="AK226" s="11" t="n"/>
      <c r="AL226" s="11" t="n"/>
      <c r="AM226" s="11" t="n"/>
      <c r="AN226" s="11" t="n"/>
      <c r="AO226" s="11" t="n"/>
      <c r="AP226" s="11" t="n"/>
      <c r="AQ226" s="11" t="n"/>
      <c r="AR226" s="10" t="n"/>
      <c r="AS226" s="11" t="n"/>
      <c r="AT226" s="11" t="n"/>
    </row>
    <row r="227">
      <c r="A227" s="10" t="n"/>
      <c r="B227" s="10" t="n"/>
      <c r="C227" s="11" t="n"/>
      <c r="D227" s="10" t="n"/>
      <c r="E227" s="11" t="n"/>
      <c r="F227" s="11" t="n"/>
      <c r="G227" s="11" t="n"/>
      <c r="H227" s="11" t="n"/>
      <c r="I227" s="10" t="n"/>
      <c r="J227" s="11" t="n"/>
      <c r="K227" s="11" t="n"/>
      <c r="L227" s="11" t="n"/>
      <c r="M227" s="11" t="n"/>
      <c r="N227" s="11" t="n"/>
      <c r="O227" s="12" t="n"/>
      <c r="P227" s="12" t="n"/>
      <c r="Q227" s="12" t="n"/>
      <c r="R227" s="11" t="n"/>
      <c r="S227" s="13" t="n"/>
      <c r="T227" s="10" t="n"/>
      <c r="U227" s="11" t="n"/>
      <c r="V227" s="11" t="n"/>
      <c r="W227" s="11" t="n"/>
      <c r="X227" s="11" t="n"/>
      <c r="Y227" s="10" t="n"/>
      <c r="Z227" s="10" t="n"/>
      <c r="AA227" s="14">
        <f>IF(AND(N(Y227)&gt;0,N(Z227)&gt;0),ROUND(43560/(Y227*Z227),0),"")</f>
        <v/>
      </c>
      <c r="AB227" s="10" t="n"/>
      <c r="AC227" s="10" t="n"/>
      <c r="AD227" s="11" t="n"/>
      <c r="AE227" s="10" t="n"/>
      <c r="AF227" s="10" t="n"/>
      <c r="AG227" s="10" t="n"/>
      <c r="AH227" s="10" t="n"/>
      <c r="AI227" s="10" t="n"/>
      <c r="AJ227" s="10" t="n"/>
      <c r="AK227" s="11" t="n"/>
      <c r="AL227" s="11" t="n"/>
      <c r="AM227" s="11" t="n"/>
      <c r="AN227" s="11" t="n"/>
      <c r="AO227" s="11" t="n"/>
      <c r="AP227" s="11" t="n"/>
      <c r="AQ227" s="11" t="n"/>
      <c r="AR227" s="10" t="n"/>
      <c r="AS227" s="11" t="n"/>
      <c r="AT227" s="11" t="n"/>
    </row>
  </sheetData>
  <autoFilter ref="A4:AT227"/>
  <dataValidations count="7">
    <dataValidation sqref="E5:E227" showDropDown="0" showInputMessage="0" showErrorMessage="0" allowBlank="1" type="list">
      <formula1>"Timber Trees,Fruiting Trees,Other Plants"</formula1>
    </dataValidation>
    <dataValidation sqref="G5:H227" showDropDown="0" showInputMessage="0" showErrorMessage="0" allowBlank="1" type="list">
      <formula1>"Yes,No"</formula1>
    </dataValidation>
    <dataValidation sqref="V5:V227" showDropDown="0" showInputMessage="0" showErrorMessage="0" allowBlank="1" type="list">
      <formula1>"Available,Out of Stock,Temporarily Unavailable,Coming Soon,Hidden"</formula1>
    </dataValidation>
    <dataValidation sqref="AL5:AL227" showDropDown="0" showInputMessage="0" showErrorMessage="0" allowBlank="1" type="list">
      <formula1>"Main,Host,Biomass,Main + Host,Not used"</formula1>
    </dataValidation>
    <dataValidation sqref="AD5:AD227" showDropDown="0" showInputMessage="0" showErrorMessage="0" allowBlank="1" type="list">
      <formula1>"Low,Medium,High"</formula1>
    </dataValidation>
    <dataValidation sqref="AS5:AS227" showDropDown="0" showInputMessage="0" showErrorMessage="0" allowBlank="1" type="list">
      <formula1>"Yes,No"</formula1>
    </dataValidation>
    <dataValidation sqref="X5:X227" showDropDown="0" showInputMessage="0" showErrorMessage="0" allowBlank="1" type="list">
      <formula1>"0,5,12,18"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6" customWidth="1" min="4" max="4"/>
    <col width="9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9" customWidth="1" min="11" max="11"/>
    <col width="14" customWidth="1" min="12" max="12"/>
    <col width="9" customWidth="1" min="13" max="13"/>
    <col width="7" customWidth="1" min="14" max="14"/>
    <col width="30" customWidth="1" min="15" max="15"/>
    <col width="30" customWidth="1" min="16" max="16"/>
    <col width="24" customWidth="1" min="17" max="17"/>
    <col width="9" customWidth="1" min="18" max="18"/>
    <col width="9" customWidth="1" min="19" max="19"/>
    <col width="22" customWidth="1" min="20" max="20"/>
  </cols>
  <sheetData>
    <row r="1">
      <c r="A1" s="1" t="inlineStr">
        <is>
          <t>Input Products</t>
        </is>
      </c>
    </row>
    <row r="2">
      <c r="A2" s="2" t="inlineStr">
        <is>
          <t>Compost, vermicompost, biochar, seeds, liquid fertiliser, bio-pesticide. One row per pack size.</t>
        </is>
      </c>
    </row>
    <row r="4" ht="42" customHeight="1">
      <c r="A4" s="8" t="inlineStr">
        <is>
          <t>SKU</t>
        </is>
      </c>
      <c r="B4" s="8" t="inlineStr">
        <is>
          <t>Product Name</t>
        </is>
      </c>
      <c r="C4" s="8" t="inlineStr">
        <is>
          <t>Kannada Name</t>
        </is>
      </c>
      <c r="D4" s="8" t="inlineStr">
        <is>
          <t>Category</t>
        </is>
      </c>
      <c r="E4" s="8" t="inlineStr">
        <is>
          <t>Pack Size</t>
        </is>
      </c>
      <c r="F4" s="8" t="inlineStr">
        <is>
          <t>Unit (kg / L / g / packet)</t>
        </is>
      </c>
      <c r="G4" s="8" t="inlineStr">
        <is>
          <t>Pack Weight (kg)</t>
        </is>
      </c>
      <c r="H4" s="8" t="inlineStr">
        <is>
          <t>Regular Price (Rs)</t>
        </is>
      </c>
      <c r="I4" s="8" t="inlineStr">
        <is>
          <t>Offer Price (Rs)</t>
        </is>
      </c>
      <c r="J4" s="8" t="inlineStr">
        <is>
          <t>Current Stock</t>
        </is>
      </c>
      <c r="K4" s="8" t="inlineStr">
        <is>
          <t>Low Stock Alert at</t>
        </is>
      </c>
      <c r="L4" s="8" t="inlineStr">
        <is>
          <t>Availability</t>
        </is>
      </c>
      <c r="M4" s="8" t="inlineStr">
        <is>
          <t>HSN Code</t>
        </is>
      </c>
      <c r="N4" s="8" t="inlineStr">
        <is>
          <t>GST %</t>
        </is>
      </c>
      <c r="O4" s="8" t="inlineStr">
        <is>
          <t>Short Description</t>
        </is>
      </c>
      <c r="P4" s="8" t="inlineStr">
        <is>
          <t>How to Use / Dosage</t>
        </is>
      </c>
      <c r="Q4" s="8" t="inlineStr">
        <is>
          <t>Recommended with which plants / models</t>
        </is>
      </c>
      <c r="R4" s="8" t="inlineStr">
        <is>
          <t>Best Seller?</t>
        </is>
      </c>
      <c r="S4" s="8" t="inlineStr">
        <is>
          <t>Image available?</t>
        </is>
      </c>
      <c r="T4" s="8" t="inlineStr">
        <is>
          <t>Notes</t>
        </is>
      </c>
    </row>
    <row r="5">
      <c r="A5" s="11" t="n"/>
      <c r="B5" s="11" t="n"/>
      <c r="C5" s="11" t="n"/>
      <c r="D5" s="11" t="inlineStr">
        <is>
          <t>Compost</t>
        </is>
      </c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>
      <c r="A6" s="11" t="n"/>
      <c r="B6" s="11" t="n"/>
      <c r="C6" s="11" t="n"/>
      <c r="D6" s="11" t="inlineStr">
        <is>
          <t>Vermicompost</t>
        </is>
      </c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</row>
    <row r="7">
      <c r="A7" s="11" t="n"/>
      <c r="B7" s="11" t="n"/>
      <c r="C7" s="11" t="n"/>
      <c r="D7" s="11" t="inlineStr">
        <is>
          <t>Biochar</t>
        </is>
      </c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</row>
    <row r="8">
      <c r="A8" s="11" t="n"/>
      <c r="B8" s="11" t="n"/>
      <c r="C8" s="11" t="n"/>
      <c r="D8" s="11" t="inlineStr">
        <is>
          <t>Seeds</t>
        </is>
      </c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11" t="n"/>
      <c r="B9" s="11" t="n"/>
      <c r="C9" s="11" t="n"/>
      <c r="D9" s="11" t="inlineStr">
        <is>
          <t>Liquid Fertiliser</t>
        </is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</row>
    <row r="10">
      <c r="A10" s="11" t="n"/>
      <c r="B10" s="11" t="n"/>
      <c r="C10" s="11" t="n"/>
      <c r="D10" s="11" t="inlineStr">
        <is>
          <t>Bio-Pesticide</t>
        </is>
      </c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</row>
  </sheetData>
  <dataValidations count="4">
    <dataValidation sqref="D5:D44" showDropDown="0" showInputMessage="0" showErrorMessage="0" allowBlank="1" type="list">
      <formula1>"Compost,Vermicompost,Biochar,Seeds,Liquid Fertiliser,Bio-Pesticide,Other"</formula1>
    </dataValidation>
    <dataValidation sqref="L5:L44" showDropDown="0" showInputMessage="0" showErrorMessage="0" allowBlank="1" type="list">
      <formula1>"Available,Out of Stock,Temporarily Unavailable,Coming Soon,Hidden"</formula1>
    </dataValidation>
    <dataValidation sqref="N5:N44" showDropDown="0" showInputMessage="0" showErrorMessage="0" allowBlank="1" type="list">
      <formula1>"0,5,12,18"</formula1>
    </dataValidation>
    <dataValidation sqref="R5:S4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2" customWidth="1" min="4" max="4"/>
    <col width="28" customWidth="1" min="5" max="5"/>
    <col width="26" customWidth="1" min="6" max="6"/>
    <col width="12" customWidth="1" min="7" max="7"/>
    <col width="26" customWidth="1" min="8" max="8"/>
    <col width="26" customWidth="1" min="9" max="9"/>
    <col width="26" customWidth="1" min="10" max="10"/>
    <col width="13" customWidth="1" min="11" max="11"/>
    <col width="13" customWidth="1" min="12" max="12"/>
    <col width="22" customWidth="1" min="13" max="13"/>
  </cols>
  <sheetData>
    <row r="1">
      <c r="A1" s="1" t="inlineStr">
        <is>
          <t>Recommendation Models (Help Me Choose)</t>
        </is>
      </c>
    </row>
    <row r="2">
      <c r="A2" s="2" t="inlineStr">
        <is>
          <t>For each model, list the plants and their role. The site scales the 36 x 36 ft block to the customer's land size.</t>
        </is>
      </c>
    </row>
    <row r="4" ht="42" customHeight="1">
      <c r="A4" s="8" t="inlineStr">
        <is>
          <t>Model</t>
        </is>
      </c>
      <c r="B4" s="8" t="inlineStr">
        <is>
          <t>Short description for customers</t>
        </is>
      </c>
      <c r="C4" s="8" t="inlineStr">
        <is>
          <t>Plant density (plants per 36 x 36 ft)</t>
        </is>
      </c>
      <c r="D4" s="8" t="inlineStr">
        <is>
          <t>Plants per acre</t>
        </is>
      </c>
      <c r="E4" s="8" t="inlineStr">
        <is>
          <t>Row pattern in 36 x 36 ft (e.g. M o X o X o M)</t>
        </is>
      </c>
      <c r="F4" s="8" t="inlineStr">
        <is>
          <t>Legend (what M / o / X mean)</t>
        </is>
      </c>
      <c r="G4" s="8" t="inlineStr">
        <is>
          <t>Min land size</t>
        </is>
      </c>
      <c r="H4" s="8" t="inlineStr">
        <is>
          <t>Planting video URL</t>
        </is>
      </c>
      <c r="I4" s="8" t="inlineStr">
        <is>
          <t>Notes</t>
        </is>
      </c>
    </row>
    <row r="5">
      <c r="A5" s="10" t="inlineStr">
        <is>
          <t>Commercial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</row>
    <row r="6">
      <c r="A6" s="10" t="inlineStr">
        <is>
          <t>Food Forest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</row>
    <row r="7">
      <c r="A7" s="10" t="inlineStr">
        <is>
          <t>Miyawaki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>
      <c r="A8" s="10" t="n"/>
      <c r="B8" s="11" t="n"/>
      <c r="C8" s="11" t="n"/>
      <c r="D8" s="11" t="n"/>
      <c r="E8" s="11" t="n"/>
      <c r="F8" s="11" t="n"/>
      <c r="G8" s="11" t="n"/>
      <c r="H8" s="11" t="n"/>
      <c r="I8" s="11" t="n"/>
    </row>
    <row r="9">
      <c r="A9" s="10" t="n"/>
      <c r="B9" s="11" t="n"/>
      <c r="C9" s="11" t="n"/>
      <c r="D9" s="11" t="n"/>
      <c r="E9" s="11" t="n"/>
      <c r="F9" s="11" t="n"/>
      <c r="G9" s="11" t="n"/>
      <c r="H9" s="11" t="n"/>
      <c r="I9" s="11" t="n"/>
    </row>
    <row r="11">
      <c r="A11" s="15" t="inlineStr">
        <is>
          <t>Plants in each model</t>
        </is>
      </c>
    </row>
    <row r="12" ht="42" customHeight="1">
      <c r="A12" s="8" t="inlineStr">
        <is>
          <t>Model</t>
        </is>
      </c>
      <c r="B12" s="8" t="inlineStr">
        <is>
          <t>Plant Name (as in Plants tab)</t>
        </is>
      </c>
      <c r="C12" s="8" t="inlineStr">
        <is>
          <t>Category</t>
        </is>
      </c>
      <c r="D12" s="8" t="inlineStr">
        <is>
          <t>Role (Main / Host / Biomass)</t>
        </is>
      </c>
      <c r="E12" s="8" t="inlineStr">
        <is>
          <t>Layer</t>
        </is>
      </c>
      <c r="F12" s="8" t="inlineStr">
        <is>
          <t>Spacing L (ft)</t>
        </is>
      </c>
      <c r="G12" s="8" t="inlineStr">
        <is>
          <t>Spacing W (ft)</t>
        </is>
      </c>
      <c r="H12" s="8" t="inlineStr">
        <is>
          <t>Qty per 36 x 36 ft</t>
        </is>
      </c>
      <c r="I12" s="8" t="inlineStr">
        <is>
          <t>Qty per acre (auto)</t>
        </is>
      </c>
      <c r="J12" s="8" t="inlineStr">
        <is>
          <t>Swap options (alternative plants)</t>
        </is>
      </c>
      <c r="K12" s="8" t="inlineStr">
        <is>
          <t>Vermicompost per plant (kg)</t>
        </is>
      </c>
      <c r="L12" s="8" t="inlineStr">
        <is>
          <t>Biochar per plant (kg)</t>
        </is>
      </c>
      <c r="M12" s="8" t="inlineStr">
        <is>
          <t>Notes</t>
        </is>
      </c>
    </row>
    <row r="13">
      <c r="A13" s="11" t="inlineStr">
        <is>
          <t>Commercial</t>
        </is>
      </c>
      <c r="B13" s="11" t="n"/>
      <c r="C13" s="11" t="n"/>
      <c r="D13" s="11" t="n"/>
      <c r="E13" s="11" t="n"/>
      <c r="F13" s="11" t="n"/>
      <c r="G13" s="11" t="n"/>
      <c r="H13" s="11" t="n"/>
      <c r="I13" s="14">
        <f>IF(N(H13)&gt;0,ROUND(H13*43560/1296,0),"")</f>
        <v/>
      </c>
      <c r="J13" s="11" t="n"/>
      <c r="K13" s="11" t="n"/>
      <c r="L13" s="11" t="n"/>
      <c r="M13" s="11" t="n"/>
    </row>
    <row r="14">
      <c r="A14" s="11" t="inlineStr">
        <is>
          <t>Food Forest</t>
        </is>
      </c>
      <c r="B14" s="11" t="n"/>
      <c r="C14" s="11" t="n"/>
      <c r="D14" s="11" t="n"/>
      <c r="E14" s="11" t="n"/>
      <c r="F14" s="11" t="n"/>
      <c r="G14" s="11" t="n"/>
      <c r="H14" s="11" t="n"/>
      <c r="I14" s="14">
        <f>IF(N(H14)&gt;0,ROUND(H14*43560/1296,0),"")</f>
        <v/>
      </c>
      <c r="J14" s="11" t="n"/>
      <c r="K14" s="11" t="n"/>
      <c r="L14" s="11" t="n"/>
      <c r="M14" s="11" t="n"/>
    </row>
    <row r="15">
      <c r="A15" s="11" t="inlineStr">
        <is>
          <t>Miyawaki</t>
        </is>
      </c>
      <c r="B15" s="11" t="n"/>
      <c r="C15" s="11" t="n"/>
      <c r="D15" s="11" t="n"/>
      <c r="E15" s="11" t="n"/>
      <c r="F15" s="11" t="n"/>
      <c r="G15" s="11" t="n"/>
      <c r="H15" s="11" t="n"/>
      <c r="I15" s="14">
        <f>IF(N(H15)&gt;0,ROUND(H15*43560/1296,0),"")</f>
        <v/>
      </c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4">
        <f>IF(N(H16)&gt;0,ROUND(H16*43560/1296,0),"")</f>
        <v/>
      </c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4">
        <f>IF(N(H17)&gt;0,ROUND(H17*43560/1296,0),"")</f>
        <v/>
      </c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4">
        <f>IF(N(H18)&gt;0,ROUND(H18*43560/1296,0),"")</f>
        <v/>
      </c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4">
        <f>IF(N(H19)&gt;0,ROUND(H19*43560/1296,0),"")</f>
        <v/>
      </c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4">
        <f>IF(N(H20)&gt;0,ROUND(H20*43560/1296,0),"")</f>
        <v/>
      </c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4">
        <f>IF(N(H21)&gt;0,ROUND(H21*43560/1296,0),"")</f>
        <v/>
      </c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4">
        <f>IF(N(H22)&gt;0,ROUND(H22*43560/1296,0),"")</f>
        <v/>
      </c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4">
        <f>IF(N(H23)&gt;0,ROUND(H23*43560/1296,0),"")</f>
        <v/>
      </c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4">
        <f>IF(N(H24)&gt;0,ROUND(H24*43560/1296,0),"")</f>
        <v/>
      </c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4">
        <f>IF(N(H25)&gt;0,ROUND(H25*43560/1296,0),"")</f>
        <v/>
      </c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4">
        <f>IF(N(H26)&gt;0,ROUND(H26*43560/1296,0),"")</f>
        <v/>
      </c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4">
        <f>IF(N(H27)&gt;0,ROUND(H27*43560/1296,0),"")</f>
        <v/>
      </c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4">
        <f>IF(N(H28)&gt;0,ROUND(H28*43560/1296,0),"")</f>
        <v/>
      </c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4">
        <f>IF(N(H29)&gt;0,ROUND(H29*43560/1296,0),"")</f>
        <v/>
      </c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4">
        <f>IF(N(H30)&gt;0,ROUND(H30*43560/1296,0),"")</f>
        <v/>
      </c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4">
        <f>IF(N(H31)&gt;0,ROUND(H31*43560/1296,0),"")</f>
        <v/>
      </c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4">
        <f>IF(N(H32)&gt;0,ROUND(H32*43560/1296,0),"")</f>
        <v/>
      </c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4">
        <f>IF(N(H33)&gt;0,ROUND(H33*43560/1296,0),"")</f>
        <v/>
      </c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4">
        <f>IF(N(H34)&gt;0,ROUND(H34*43560/1296,0),"")</f>
        <v/>
      </c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4">
        <f>IF(N(H35)&gt;0,ROUND(H35*43560/1296,0),"")</f>
        <v/>
      </c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4">
        <f>IF(N(H36)&gt;0,ROUND(H36*43560/1296,0),"")</f>
        <v/>
      </c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4">
        <f>IF(N(H37)&gt;0,ROUND(H37*43560/1296,0),"")</f>
        <v/>
      </c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4">
        <f>IF(N(H38)&gt;0,ROUND(H38*43560/1296,0),"")</f>
        <v/>
      </c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4">
        <f>IF(N(H39)&gt;0,ROUND(H39*43560/1296,0),"")</f>
        <v/>
      </c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4">
        <f>IF(N(H40)&gt;0,ROUND(H40*43560/1296,0),"")</f>
        <v/>
      </c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4">
        <f>IF(N(H41)&gt;0,ROUND(H41*43560/1296,0),"")</f>
        <v/>
      </c>
      <c r="J41" s="11" t="n"/>
      <c r="K41" s="11" t="n"/>
      <c r="L41" s="11" t="n"/>
      <c r="M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4">
        <f>IF(N(H42)&gt;0,ROUND(H42*43560/1296,0),"")</f>
        <v/>
      </c>
      <c r="J42" s="11" t="n"/>
      <c r="K42" s="11" t="n"/>
      <c r="L42" s="11" t="n"/>
      <c r="M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4">
        <f>IF(N(H43)&gt;0,ROUND(H43*43560/1296,0),"")</f>
        <v/>
      </c>
      <c r="J43" s="11" t="n"/>
      <c r="K43" s="11" t="n"/>
      <c r="L43" s="11" t="n"/>
      <c r="M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4">
        <f>IF(N(H44)&gt;0,ROUND(H44*43560/1296,0),"")</f>
        <v/>
      </c>
      <c r="J44" s="11" t="n"/>
      <c r="K44" s="11" t="n"/>
      <c r="L44" s="11" t="n"/>
      <c r="M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4">
        <f>IF(N(H45)&gt;0,ROUND(H45*43560/1296,0),"")</f>
        <v/>
      </c>
      <c r="J45" s="11" t="n"/>
      <c r="K45" s="11" t="n"/>
      <c r="L45" s="11" t="n"/>
      <c r="M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4">
        <f>IF(N(H46)&gt;0,ROUND(H46*43560/1296,0),"")</f>
        <v/>
      </c>
      <c r="J46" s="11" t="n"/>
      <c r="K46" s="11" t="n"/>
      <c r="L46" s="11" t="n"/>
      <c r="M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4">
        <f>IF(N(H47)&gt;0,ROUND(H47*43560/1296,0),"")</f>
        <v/>
      </c>
      <c r="J47" s="11" t="n"/>
      <c r="K47" s="11" t="n"/>
      <c r="L47" s="11" t="n"/>
      <c r="M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4">
        <f>IF(N(H48)&gt;0,ROUND(H48*43560/1296,0),"")</f>
        <v/>
      </c>
      <c r="J48" s="11" t="n"/>
      <c r="K48" s="11" t="n"/>
      <c r="L48" s="11" t="n"/>
      <c r="M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4">
        <f>IF(N(H49)&gt;0,ROUND(H49*43560/1296,0),"")</f>
        <v/>
      </c>
      <c r="J49" s="11" t="n"/>
      <c r="K49" s="11" t="n"/>
      <c r="L49" s="11" t="n"/>
      <c r="M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4">
        <f>IF(N(H50)&gt;0,ROUND(H50*43560/1296,0),"")</f>
        <v/>
      </c>
      <c r="J50" s="11" t="n"/>
      <c r="K50" s="11" t="n"/>
      <c r="L50" s="11" t="n"/>
      <c r="M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4">
        <f>IF(N(H51)&gt;0,ROUND(H51*43560/1296,0),"")</f>
        <v/>
      </c>
      <c r="J51" s="11" t="n"/>
      <c r="K51" s="11" t="n"/>
      <c r="L51" s="11" t="n"/>
      <c r="M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4">
        <f>IF(N(H52)&gt;0,ROUND(H52*43560/1296,0),"")</f>
        <v/>
      </c>
      <c r="J52" s="11" t="n"/>
      <c r="K52" s="11" t="n"/>
      <c r="L52" s="11" t="n"/>
      <c r="M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4">
        <f>IF(N(H53)&gt;0,ROUND(H53*43560/1296,0),"")</f>
        <v/>
      </c>
      <c r="J53" s="11" t="n"/>
      <c r="K53" s="11" t="n"/>
      <c r="L53" s="11" t="n"/>
      <c r="M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4">
        <f>IF(N(H54)&gt;0,ROUND(H54*43560/1296,0),"")</f>
        <v/>
      </c>
      <c r="J54" s="11" t="n"/>
      <c r="K54" s="11" t="n"/>
      <c r="L54" s="11" t="n"/>
      <c r="M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4">
        <f>IF(N(H55)&gt;0,ROUND(H55*43560/1296,0),"")</f>
        <v/>
      </c>
      <c r="J55" s="11" t="n"/>
      <c r="K55" s="11" t="n"/>
      <c r="L55" s="11" t="n"/>
      <c r="M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4">
        <f>IF(N(H56)&gt;0,ROUND(H56*43560/1296,0),"")</f>
        <v/>
      </c>
      <c r="J56" s="11" t="n"/>
      <c r="K56" s="11" t="n"/>
      <c r="L56" s="11" t="n"/>
      <c r="M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4">
        <f>IF(N(H57)&gt;0,ROUND(H57*43560/1296,0),"")</f>
        <v/>
      </c>
      <c r="J57" s="11" t="n"/>
      <c r="K57" s="11" t="n"/>
      <c r="L57" s="11" t="n"/>
      <c r="M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4">
        <f>IF(N(H58)&gt;0,ROUND(H58*43560/1296,0),"")</f>
        <v/>
      </c>
      <c r="J58" s="11" t="n"/>
      <c r="K58" s="11" t="n"/>
      <c r="L58" s="11" t="n"/>
      <c r="M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4">
        <f>IF(N(H59)&gt;0,ROUND(H59*43560/1296,0),"")</f>
        <v/>
      </c>
      <c r="J59" s="11" t="n"/>
      <c r="K59" s="11" t="n"/>
      <c r="L59" s="11" t="n"/>
      <c r="M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4">
        <f>IF(N(H60)&gt;0,ROUND(H60*43560/1296,0),"")</f>
        <v/>
      </c>
      <c r="J60" s="11" t="n"/>
      <c r="K60" s="11" t="n"/>
      <c r="L60" s="11" t="n"/>
      <c r="M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4">
        <f>IF(N(H61)&gt;0,ROUND(H61*43560/1296,0),"")</f>
        <v/>
      </c>
      <c r="J61" s="11" t="n"/>
      <c r="K61" s="11" t="n"/>
      <c r="L61" s="11" t="n"/>
      <c r="M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4">
        <f>IF(N(H62)&gt;0,ROUND(H62*43560/1296,0),"")</f>
        <v/>
      </c>
      <c r="J62" s="11" t="n"/>
      <c r="K62" s="11" t="n"/>
      <c r="L62" s="11" t="n"/>
      <c r="M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4">
        <f>IF(N(H63)&gt;0,ROUND(H63*43560/1296,0),"")</f>
        <v/>
      </c>
      <c r="J63" s="11" t="n"/>
      <c r="K63" s="11" t="n"/>
      <c r="L63" s="11" t="n"/>
      <c r="M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4">
        <f>IF(N(H64)&gt;0,ROUND(H64*43560/1296,0),"")</f>
        <v/>
      </c>
      <c r="J64" s="11" t="n"/>
      <c r="K64" s="11" t="n"/>
      <c r="L64" s="11" t="n"/>
      <c r="M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4">
        <f>IF(N(H65)&gt;0,ROUND(H65*43560/1296,0),"")</f>
        <v/>
      </c>
      <c r="J65" s="11" t="n"/>
      <c r="K65" s="11" t="n"/>
      <c r="L65" s="11" t="n"/>
      <c r="M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4">
        <f>IF(N(H66)&gt;0,ROUND(H66*43560/1296,0),"")</f>
        <v/>
      </c>
      <c r="J66" s="11" t="n"/>
      <c r="K66" s="11" t="n"/>
      <c r="L66" s="11" t="n"/>
      <c r="M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4">
        <f>IF(N(H67)&gt;0,ROUND(H67*43560/1296,0),"")</f>
        <v/>
      </c>
      <c r="J67" s="11" t="n"/>
      <c r="K67" s="11" t="n"/>
      <c r="L67" s="11" t="n"/>
      <c r="M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4">
        <f>IF(N(H68)&gt;0,ROUND(H68*43560/1296,0),"")</f>
        <v/>
      </c>
      <c r="J68" s="11" t="n"/>
      <c r="K68" s="11" t="n"/>
      <c r="L68" s="11" t="n"/>
      <c r="M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4">
        <f>IF(N(H69)&gt;0,ROUND(H69*43560/1296,0),"")</f>
        <v/>
      </c>
      <c r="J69" s="11" t="n"/>
      <c r="K69" s="11" t="n"/>
      <c r="L69" s="11" t="n"/>
      <c r="M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4">
        <f>IF(N(H70)&gt;0,ROUND(H70*43560/1296,0),"")</f>
        <v/>
      </c>
      <c r="J70" s="11" t="n"/>
      <c r="K70" s="11" t="n"/>
      <c r="L70" s="11" t="n"/>
      <c r="M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4">
        <f>IF(N(H71)&gt;0,ROUND(H71*43560/1296,0),"")</f>
        <v/>
      </c>
      <c r="J71" s="11" t="n"/>
      <c r="K71" s="11" t="n"/>
      <c r="L71" s="11" t="n"/>
      <c r="M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4">
        <f>IF(N(H72)&gt;0,ROUND(H72*43560/1296,0),"")</f>
        <v/>
      </c>
      <c r="J72" s="11" t="n"/>
      <c r="K72" s="11" t="n"/>
      <c r="L72" s="11" t="n"/>
      <c r="M72" s="11" t="n"/>
    </row>
  </sheetData>
  <dataValidations count="4">
    <dataValidation sqref="A13:A72" showDropDown="0" showInputMessage="0" showErrorMessage="0" allowBlank="1" type="list">
      <formula1>"Commercial,Food Forest,Miyawaki"</formula1>
    </dataValidation>
    <dataValidation sqref="C13:C72" showDropDown="0" showInputMessage="0" showErrorMessage="0" allowBlank="1" type="list">
      <formula1>"Timber Trees,Fruiting Trees,Other Plants"</formula1>
    </dataValidation>
    <dataValidation sqref="D13:D72" showDropDown="0" showInputMessage="0" showErrorMessage="0" allowBlank="1" type="list">
      <formula1>"Main,Host,Biomass"</formula1>
    </dataValidation>
    <dataValidation sqref="E13:E72" showDropDown="0" showInputMessage="0" showErrorMessage="0" allowBlank="1" type="list">
      <formula1>"Canopy,Sub-canopy,Shrub,Herb,Ground cover,Climber"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6" customWidth="1" min="3" max="3"/>
    <col width="28" customWidth="1" min="4" max="4"/>
    <col width="46" customWidth="1" min="5" max="5"/>
    <col width="30" customWidth="1" min="6" max="6"/>
    <col width="10" customWidth="1" min="7" max="7"/>
  </cols>
  <sheetData>
    <row r="1">
      <c r="A1" s="1" t="inlineStr">
        <is>
          <t>Calculator Formulas</t>
        </is>
      </c>
    </row>
    <row r="2">
      <c r="A2" s="2" t="inlineStr">
        <is>
          <t>Our proposed formula is shown. Please confirm or replace it in the yellow column.</t>
        </is>
      </c>
    </row>
    <row r="4" ht="42" customHeight="1">
      <c r="A4" s="8" t="inlineStr">
        <is>
          <t>Calculator</t>
        </is>
      </c>
      <c r="B4" s="8" t="inlineStr">
        <is>
          <t>Where used</t>
        </is>
      </c>
      <c r="C4" s="8" t="inlineStr">
        <is>
          <t>Proposed formula (WODO)</t>
        </is>
      </c>
      <c r="D4" s="8" t="inlineStr">
        <is>
          <t>Inputs the customer enters</t>
        </is>
      </c>
      <c r="E4" s="8" t="inlineStr">
        <is>
          <t>Hasiru Agro formula / correction</t>
        </is>
      </c>
      <c r="F4" s="8" t="inlineStr">
        <is>
          <t>Example to test</t>
        </is>
      </c>
      <c r="G4" s="8" t="inlineStr">
        <is>
          <t>Approved?</t>
        </is>
      </c>
    </row>
    <row r="5">
      <c r="A5" s="10" t="inlineStr">
        <is>
          <t>Plants per acre</t>
        </is>
      </c>
      <c r="B5" s="10" t="inlineStr">
        <is>
          <t>Home, Shop (floating)</t>
        </is>
      </c>
      <c r="C5" s="10" t="inlineStr">
        <is>
          <t>Plants per acre = 43,560 / (spacing L ft x spacing W ft). Optional: + buffer % for replacements.</t>
        </is>
      </c>
      <c r="D5" s="10" t="inlineStr">
        <is>
          <t>Spacing L and W (ft), or plant picked (auto-fills its spacing), land size</t>
        </is>
      </c>
      <c r="E5" s="11" t="inlineStr"/>
      <c r="F5" s="11" t="inlineStr">
        <is>
          <t>10 x 10 ft -&gt; 436 plants/acre</t>
        </is>
      </c>
      <c r="G5" s="11" t="inlineStr"/>
    </row>
    <row r="6">
      <c r="A6" s="10" t="inlineStr">
        <is>
          <t>Buffer / mortality allowance</t>
        </is>
      </c>
      <c r="B6" s="10" t="inlineStr">
        <is>
          <t>Plant calculator</t>
        </is>
      </c>
      <c r="C6" s="10" t="inlineStr">
        <is>
          <t>Add X% extra plants for replacements (sketch shows '43,560 x 3 / 100'; is that a 3% allowance?).</t>
        </is>
      </c>
      <c r="D6" s="10" t="inlineStr">
        <is>
          <t>-</t>
        </is>
      </c>
      <c r="E6" s="11" t="inlineStr"/>
      <c r="F6" s="11" t="inlineStr"/>
      <c r="G6" s="11" t="inlineStr"/>
    </row>
    <row r="7">
      <c r="A7" s="10" t="inlineStr">
        <is>
          <t>Compost requirement</t>
        </is>
      </c>
      <c r="B7" s="10" t="inlineStr">
        <is>
          <t>Home compost calculator</t>
        </is>
      </c>
      <c r="C7" s="10" t="inlineStr">
        <is>
          <t>Compost kg = sum over plants (qty x compost kg per plant).</t>
        </is>
      </c>
      <c r="D7" s="10" t="inlineStr">
        <is>
          <t>Plants and quantities selected</t>
        </is>
      </c>
      <c r="E7" s="11" t="inlineStr"/>
      <c r="F7" s="11" t="inlineStr">
        <is>
          <t>500 plants -&gt; ? kg</t>
        </is>
      </c>
      <c r="G7" s="11" t="inlineStr"/>
    </row>
    <row r="8">
      <c r="A8" s="10" t="inlineStr">
        <is>
          <t>Vermicompost requirement</t>
        </is>
      </c>
      <c r="B8" s="10" t="inlineStr">
        <is>
          <t>Recommendation page, Cart</t>
        </is>
      </c>
      <c r="C8" s="10" t="inlineStr">
        <is>
          <t>Vermicompost kg = sum (qty x kg per plant, by plant size/type).</t>
        </is>
      </c>
      <c r="D8" s="10" t="inlineStr">
        <is>
          <t>Plants selected</t>
        </is>
      </c>
      <c r="E8" s="11" t="inlineStr"/>
      <c r="F8" s="11" t="inlineStr">
        <is>
          <t>500 plants -&gt; ? kg</t>
        </is>
      </c>
      <c r="G8" s="11" t="inlineStr"/>
    </row>
    <row r="9">
      <c r="A9" s="10" t="inlineStr">
        <is>
          <t>Biochar requirement</t>
        </is>
      </c>
      <c r="B9" s="10" t="inlineStr">
        <is>
          <t>Recommendation page, Cart</t>
        </is>
      </c>
      <c r="C9" s="10" t="inlineStr">
        <is>
          <t>Biochar kg = sum (qty x kg per plant).</t>
        </is>
      </c>
      <c r="D9" s="10" t="inlineStr">
        <is>
          <t>Plants selected</t>
        </is>
      </c>
      <c r="E9" s="11" t="inlineStr"/>
      <c r="F9" s="11" t="inlineStr">
        <is>
          <t>500 plants -&gt; ? kg</t>
        </is>
      </c>
      <c r="G9" s="11" t="inlineStr"/>
    </row>
    <row r="10">
      <c r="A10" s="10" t="inlineStr">
        <is>
          <t>Seed requirement</t>
        </is>
      </c>
      <c r="B10" s="10" t="inlineStr">
        <is>
          <t>Recommendation page</t>
        </is>
      </c>
      <c r="C10" s="10" t="inlineStr">
        <is>
          <t>Seeds (g or packets) per acre or per 36 x 36 block, e.g. for ground cover / green manure.</t>
        </is>
      </c>
      <c r="D10" s="10" t="inlineStr">
        <is>
          <t>Land size, model</t>
        </is>
      </c>
      <c r="E10" s="11" t="inlineStr"/>
      <c r="F10" s="11" t="inlineStr"/>
      <c r="G10" s="11" t="inlineStr"/>
    </row>
    <row r="11">
      <c r="A11" s="10" t="inlineStr">
        <is>
          <t>Model scaling</t>
        </is>
      </c>
      <c r="B11" s="10" t="inlineStr">
        <is>
          <t>Help Me Choose</t>
        </is>
      </c>
      <c r="C11" s="10" t="inlineStr">
        <is>
          <t>Plants for land = qty per 36 x 36 ft block x (land sq ft / 1,296).</t>
        </is>
      </c>
      <c r="D11" s="10" t="inlineStr">
        <is>
          <t>Land size (acre or sq ft)</t>
        </is>
      </c>
      <c r="E11" s="11" t="inlineStr"/>
      <c r="F11" s="11" t="inlineStr">
        <is>
          <t>1 acre = 33.6 blocks</t>
        </is>
      </c>
      <c r="G11" s="11" t="inlineStr"/>
    </row>
    <row r="12">
      <c r="A12" s="10" t="inlineStr">
        <is>
          <t>Pack rounding</t>
        </is>
      </c>
      <c r="B12" s="10" t="inlineStr">
        <is>
          <t>Cart</t>
        </is>
      </c>
      <c r="C12" s="10" t="inlineStr">
        <is>
          <t>Input kg rounded up to whole packs (e.g. 112 kg -&gt; 5 x 25 kg).</t>
        </is>
      </c>
      <c r="D12" s="10" t="inlineStr">
        <is>
          <t>-</t>
        </is>
      </c>
      <c r="E12" s="11" t="inlineStr"/>
      <c r="F12" s="11" t="inlineStr"/>
      <c r="G12" s="11" t="inlineStr"/>
    </row>
  </sheetData>
  <dataValidations count="1">
    <dataValidation sqref="G5:G12" showDropDown="0" showInputMessage="0" showErrorMessage="0" allowBlank="1" type="list">
      <formula1>"Yes,No,Changed"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Delivery, Truck Capacity and Packing</t>
        </is>
      </c>
    </row>
    <row r="2">
      <c r="A2" s="2" t="inlineStr">
        <is>
          <t>Needed for the truck-capacity meter, delivery charges and packing charges.</t>
        </is>
      </c>
    </row>
    <row r="4">
      <c r="A4" s="15" t="inlineStr">
        <is>
          <t>A. Vehicles</t>
        </is>
      </c>
    </row>
    <row r="5" ht="36" customHeight="1">
      <c r="A5" s="8" t="inlineStr">
        <is>
          <t>Vehicle type</t>
        </is>
      </c>
      <c r="B5" s="8" t="inlineStr">
        <is>
          <t>Max weight (kg)</t>
        </is>
      </c>
      <c r="C5" s="8" t="inlineStr">
        <is>
          <t>Max plants (small saplings)</t>
        </is>
      </c>
      <c r="D5" s="8" t="inlineStr">
        <is>
          <t>Max plants (large / 6 ft+)</t>
        </is>
      </c>
      <c r="E5" s="8" t="inlineStr">
        <is>
          <t>Rate per km (Rs)</t>
        </is>
      </c>
      <c r="F5" s="8" t="inlineStr">
        <is>
          <t>Minimum charge (Rs)</t>
        </is>
      </c>
      <c r="G5" s="8" t="inlineStr">
        <is>
          <t>Notes</t>
        </is>
      </c>
    </row>
    <row r="6">
      <c r="A6" s="10" t="inlineStr">
        <is>
          <t>Tata Ace / small pickup</t>
        </is>
      </c>
      <c r="B6" s="11" t="n"/>
      <c r="C6" s="11" t="n"/>
      <c r="D6" s="11" t="n"/>
      <c r="E6" s="11" t="n"/>
      <c r="F6" s="11" t="n"/>
      <c r="G6" s="11" t="n"/>
    </row>
    <row r="7">
      <c r="A7" s="10" t="inlineStr">
        <is>
          <t>Bolero pickup</t>
        </is>
      </c>
      <c r="B7" s="11" t="n"/>
      <c r="C7" s="11" t="n"/>
      <c r="D7" s="11" t="n"/>
      <c r="E7" s="11" t="n"/>
      <c r="F7" s="11" t="n"/>
      <c r="G7" s="11" t="n"/>
    </row>
    <row r="8">
      <c r="A8" s="10" t="inlineStr">
        <is>
          <t>407 / mid truck</t>
        </is>
      </c>
      <c r="B8" s="11" t="n"/>
      <c r="C8" s="11" t="n"/>
      <c r="D8" s="11" t="n"/>
      <c r="E8" s="11" t="n"/>
      <c r="F8" s="11" t="n"/>
      <c r="G8" s="11" t="n"/>
    </row>
    <row r="9">
      <c r="A9" s="10" t="inlineStr">
        <is>
          <t>Large truck</t>
        </is>
      </c>
      <c r="B9" s="11" t="n"/>
      <c r="C9" s="11" t="n"/>
      <c r="D9" s="11" t="n"/>
      <c r="E9" s="11" t="n"/>
      <c r="F9" s="11" t="n"/>
      <c r="G9" s="11" t="n"/>
    </row>
    <row r="10">
      <c r="A10" s="10" t="n"/>
      <c r="B10" s="11" t="n"/>
      <c r="C10" s="11" t="n"/>
      <c r="D10" s="11" t="n"/>
      <c r="E10" s="11" t="n"/>
      <c r="F10" s="11" t="n"/>
      <c r="G10" s="11" t="n"/>
    </row>
    <row r="13">
      <c r="A13" s="15" t="inlineStr">
        <is>
          <t>B. Bengaluru scheduled delivery</t>
        </is>
      </c>
    </row>
    <row r="14" ht="36" customHeight="1">
      <c r="A14" s="8" t="inlineStr">
        <is>
          <t>Setting</t>
        </is>
      </c>
      <c r="B14" s="8" t="inlineStr">
        <is>
          <t>Value</t>
        </is>
      </c>
      <c r="C14" s="8" t="inlineStr"/>
      <c r="D14" s="8" t="inlineStr"/>
      <c r="E14" s="8" t="inlineStr"/>
      <c r="F14" s="8" t="inlineStr"/>
      <c r="G14" s="8" t="inlineStr">
        <is>
          <t>Notes</t>
        </is>
      </c>
    </row>
    <row r="15">
      <c r="A15" s="10" t="inlineStr">
        <is>
          <t>Delivery day(s) of week</t>
        </is>
      </c>
      <c r="B15" s="11" t="n"/>
      <c r="C15" s="11" t="n"/>
      <c r="D15" s="11" t="n"/>
      <c r="E15" s="11" t="n"/>
      <c r="F15" s="11" t="n"/>
      <c r="G15" s="11" t="n"/>
    </row>
    <row r="16">
      <c r="A16" s="10" t="inlineStr">
        <is>
          <t>Order cut-off (day + time)</t>
        </is>
      </c>
      <c r="B16" s="11" t="n"/>
      <c r="C16" s="11" t="n"/>
      <c r="D16" s="11" t="n"/>
      <c r="E16" s="11" t="n"/>
      <c r="F16" s="11" t="n"/>
      <c r="G16" s="11" t="n"/>
    </row>
    <row r="17">
      <c r="A17" s="10" t="inlineStr">
        <is>
          <t>Delivery charge (flat / slab)</t>
        </is>
      </c>
      <c r="B17" s="11" t="n"/>
      <c r="C17" s="11" t="n"/>
      <c r="D17" s="11" t="n"/>
      <c r="E17" s="11" t="n"/>
      <c r="F17" s="11" t="n"/>
      <c r="G17" s="11" t="n"/>
    </row>
    <row r="18">
      <c r="A18" s="10" t="inlineStr">
        <is>
          <t>Free delivery above (Rs)</t>
        </is>
      </c>
      <c r="B18" s="11" t="n"/>
      <c r="C18" s="11" t="n"/>
      <c r="D18" s="11" t="n"/>
      <c r="E18" s="11" t="n"/>
      <c r="F18" s="11" t="n"/>
      <c r="G18" s="11" t="n"/>
    </row>
    <row r="19">
      <c r="A19" s="10" t="inlineStr">
        <is>
          <t>PIN codes / areas covered</t>
        </is>
      </c>
      <c r="B19" s="11" t="n"/>
      <c r="C19" s="11" t="n"/>
      <c r="D19" s="11" t="n"/>
      <c r="E19" s="11" t="n"/>
      <c r="F19" s="11" t="n"/>
      <c r="G19" s="11" t="n"/>
    </row>
    <row r="20">
      <c r="A20" s="10" t="inlineStr">
        <is>
          <t>Max distance from nursery (km)</t>
        </is>
      </c>
      <c r="B20" s="11" t="n"/>
      <c r="C20" s="11" t="n"/>
      <c r="D20" s="11" t="n"/>
      <c r="E20" s="11" t="n"/>
      <c r="F20" s="11" t="n"/>
      <c r="G20" s="11" t="n"/>
    </row>
    <row r="23">
      <c r="A23" s="15" t="inlineStr">
        <is>
          <t>C. Outstation delivery</t>
        </is>
      </c>
    </row>
    <row r="24" ht="36" customHeight="1">
      <c r="A24" s="8" t="inlineStr">
        <is>
          <t>Rule</t>
        </is>
      </c>
      <c r="B24" s="8" t="inlineStr">
        <is>
          <t>Value</t>
        </is>
      </c>
      <c r="C24" s="8" t="inlineStr"/>
      <c r="D24" s="8" t="inlineStr"/>
      <c r="E24" s="8" t="inlineStr"/>
      <c r="F24" s="8" t="inlineStr"/>
      <c r="G24" s="8" t="inlineStr">
        <is>
          <t>Notes</t>
        </is>
      </c>
    </row>
    <row r="25">
      <c r="A25" s="10" t="inlineStr">
        <is>
          <t>Rate per km (Rs)</t>
        </is>
      </c>
      <c r="B25" s="11" t="n"/>
      <c r="C25" s="11" t="n"/>
      <c r="D25" s="11" t="n"/>
      <c r="E25" s="11" t="n"/>
      <c r="F25" s="11" t="n"/>
      <c r="G25" s="11" t="n"/>
    </row>
    <row r="26">
      <c r="A26" s="10" t="inlineStr">
        <is>
          <t>Rate per kg (Rs)</t>
        </is>
      </c>
      <c r="B26" s="11" t="n"/>
      <c r="C26" s="11" t="n"/>
      <c r="D26" s="11" t="n"/>
      <c r="E26" s="11" t="n"/>
      <c r="F26" s="11" t="n"/>
      <c r="G26" s="11" t="n"/>
    </row>
    <row r="27">
      <c r="A27" s="10" t="inlineStr">
        <is>
          <t>Minimum order for outstation (Rs / plants)</t>
        </is>
      </c>
      <c r="B27" s="11" t="n"/>
      <c r="C27" s="11" t="n"/>
      <c r="D27" s="11" t="n"/>
      <c r="E27" s="11" t="n"/>
      <c r="F27" s="11" t="n"/>
      <c r="G27" s="11" t="n"/>
    </row>
    <row r="28">
      <c r="A28" s="10" t="inlineStr">
        <is>
          <t>States / districts served</t>
        </is>
      </c>
      <c r="B28" s="11" t="n"/>
      <c r="C28" s="11" t="n"/>
      <c r="D28" s="11" t="n"/>
      <c r="E28" s="11" t="n"/>
      <c r="F28" s="11" t="n"/>
      <c r="G28" s="11" t="n"/>
    </row>
    <row r="29">
      <c r="A29" s="10" t="inlineStr">
        <is>
          <t>Delivery lead time (days)</t>
        </is>
      </c>
      <c r="B29" s="11" t="n"/>
      <c r="C29" s="11" t="n"/>
      <c r="D29" s="11" t="n"/>
      <c r="E29" s="11" t="n"/>
      <c r="F29" s="11" t="n"/>
      <c r="G29" s="11" t="n"/>
    </row>
    <row r="30">
      <c r="A30" s="10" t="inlineStr">
        <is>
          <t>Shared truck / part-load allowed?</t>
        </is>
      </c>
      <c r="B30" s="11" t="n"/>
      <c r="C30" s="11" t="n"/>
      <c r="D30" s="11" t="n"/>
      <c r="E30" s="11" t="n"/>
      <c r="F30" s="11" t="n"/>
      <c r="G30" s="11" t="n"/>
    </row>
    <row r="31">
      <c r="A31" s="10" t="inlineStr">
        <is>
          <t>Who pays tolls / loading?</t>
        </is>
      </c>
      <c r="B31" s="11" t="n"/>
      <c r="C31" s="11" t="n"/>
      <c r="D31" s="11" t="n"/>
      <c r="E31" s="11" t="n"/>
      <c r="F31" s="11" t="n"/>
      <c r="G31" s="11" t="n"/>
    </row>
    <row r="34">
      <c r="A34" s="15" t="inlineStr">
        <is>
          <t>D. Packing charges</t>
        </is>
      </c>
    </row>
    <row r="35" ht="36" customHeight="1">
      <c r="A35" s="8" t="inlineStr">
        <is>
          <t>Rule</t>
        </is>
      </c>
      <c r="B35" s="8" t="inlineStr">
        <is>
          <t>Value</t>
        </is>
      </c>
      <c r="C35" s="8" t="inlineStr"/>
      <c r="D35" s="8" t="inlineStr"/>
      <c r="E35" s="8" t="inlineStr"/>
      <c r="F35" s="8" t="inlineStr"/>
      <c r="G35" s="8" t="inlineStr">
        <is>
          <t>Notes</t>
        </is>
      </c>
    </row>
    <row r="36">
      <c r="A36" s="10" t="inlineStr">
        <is>
          <t>Packing type (per order / per plant / per kg / by size)</t>
        </is>
      </c>
      <c r="B36" s="11" t="n"/>
      <c r="C36" s="11" t="n"/>
      <c r="D36" s="11" t="n"/>
      <c r="E36" s="11" t="n"/>
      <c r="F36" s="11" t="n"/>
      <c r="G36" s="11" t="n"/>
    </row>
    <row r="37">
      <c r="A37" s="10" t="inlineStr">
        <is>
          <t>Rate</t>
        </is>
      </c>
      <c r="B37" s="11" t="n"/>
      <c r="C37" s="11" t="n"/>
      <c r="D37" s="11" t="n"/>
      <c r="E37" s="11" t="n"/>
      <c r="F37" s="11" t="n"/>
      <c r="G37" s="11" t="n"/>
    </row>
    <row r="38">
      <c r="A38" s="10" t="inlineStr">
        <is>
          <t>Free packing above (Rs)</t>
        </is>
      </c>
      <c r="B38" s="11" t="n"/>
      <c r="C38" s="11" t="n"/>
      <c r="D38" s="11" t="n"/>
      <c r="E38" s="11" t="n"/>
      <c r="F38" s="11" t="n"/>
      <c r="G38" s="11" t="n"/>
    </row>
    <row r="39">
      <c r="A39" s="10" t="inlineStr">
        <is>
          <t>Special packing for large plants</t>
        </is>
      </c>
      <c r="B39" s="11" t="n"/>
      <c r="C39" s="11" t="n"/>
      <c r="D39" s="11" t="n"/>
      <c r="E39" s="11" t="n"/>
      <c r="F39" s="11" t="n"/>
      <c r="G39" s="11" t="n"/>
    </row>
    <row r="40">
      <c r="A40" s="10" t="inlineStr">
        <is>
          <t>Courier option for single plants?</t>
        </is>
      </c>
      <c r="B40" s="11" t="n"/>
      <c r="C40" s="11" t="n"/>
      <c r="D40" s="11" t="n"/>
      <c r="E40" s="11" t="n"/>
      <c r="F40" s="11" t="n"/>
      <c r="G40" s="11" t="n"/>
    </row>
    <row r="43">
      <c r="A43" s="15" t="inlineStr">
        <is>
          <t>E. Nursery pickup</t>
        </is>
      </c>
    </row>
    <row r="44" ht="36" customHeight="1">
      <c r="A44" s="8" t="inlineStr">
        <is>
          <t>Setting</t>
        </is>
      </c>
      <c r="B44" s="8" t="inlineStr">
        <is>
          <t>Value</t>
        </is>
      </c>
      <c r="C44" s="8" t="inlineStr"/>
      <c r="D44" s="8" t="inlineStr"/>
      <c r="E44" s="8" t="inlineStr"/>
      <c r="F44" s="8" t="inlineStr"/>
      <c r="G44" s="8" t="inlineStr">
        <is>
          <t>Notes</t>
        </is>
      </c>
    </row>
    <row r="45">
      <c r="A45" s="10" t="inlineStr">
        <is>
          <t>Nursery address + Google Maps link</t>
        </is>
      </c>
      <c r="B45" s="11" t="n"/>
      <c r="C45" s="11" t="n"/>
      <c r="D45" s="11" t="n"/>
      <c r="E45" s="11" t="n"/>
      <c r="F45" s="11" t="n"/>
      <c r="G45" s="11" t="n"/>
    </row>
    <row r="46">
      <c r="A46" s="10" t="inlineStr">
        <is>
          <t>Pickup days and timings</t>
        </is>
      </c>
      <c r="B46" s="11" t="n"/>
      <c r="C46" s="11" t="n"/>
      <c r="D46" s="11" t="n"/>
      <c r="E46" s="11" t="n"/>
      <c r="F46" s="11" t="n"/>
      <c r="G46" s="11" t="n"/>
    </row>
    <row r="47">
      <c r="A47" s="10" t="inlineStr">
        <is>
          <t>Ready-for-pickup time after order</t>
        </is>
      </c>
      <c r="B47" s="11" t="n"/>
      <c r="C47" s="11" t="n"/>
      <c r="D47" s="11" t="n"/>
      <c r="E47" s="11" t="n"/>
      <c r="F47" s="11" t="n"/>
      <c r="G47" s="11" t="n"/>
    </row>
    <row r="48">
      <c r="A48" s="10" t="inlineStr">
        <is>
          <t>Contact number for pickup</t>
        </is>
      </c>
      <c r="B48" s="11" t="n"/>
      <c r="C48" s="11" t="n"/>
      <c r="D48" s="11" t="n"/>
      <c r="E48" s="11" t="n"/>
      <c r="F48" s="11" t="n"/>
      <c r="G48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  <col width="14" customWidth="1" min="4" max="4"/>
    <col width="36" customWidth="1" min="5" max="5"/>
  </cols>
  <sheetData>
    <row r="1">
      <c r="A1" s="1" t="inlineStr">
        <is>
          <t>Content, Media and Policies Checklist</t>
        </is>
      </c>
    </row>
    <row r="2">
      <c r="A2" s="2" t="inlineStr">
        <is>
          <t>Share files in a shared Google Drive folder and mark the status here.</t>
        </is>
      </c>
    </row>
    <row r="4" ht="42" customHeight="1">
      <c r="A4" s="8" t="inlineStr">
        <is>
          <t>Item</t>
        </is>
      </c>
      <c r="B4" s="8" t="inlineStr">
        <is>
          <t>Used on</t>
        </is>
      </c>
      <c r="C4" s="8" t="inlineStr">
        <is>
          <t>Details needed</t>
        </is>
      </c>
      <c r="D4" s="8" t="inlineStr">
        <is>
          <t>Status</t>
        </is>
      </c>
      <c r="E4" s="8" t="inlineStr">
        <is>
          <t>Drive link / Notes</t>
        </is>
      </c>
    </row>
    <row r="5">
      <c r="A5" s="10" t="inlineStr">
        <is>
          <t>Home banner image + headline</t>
        </is>
      </c>
      <c r="B5" s="10" t="inlineStr">
        <is>
          <t>Home</t>
        </is>
      </c>
      <c r="C5" s="10" t="inlineStr">
        <is>
          <t>1-3 hero images (farm / nursery), headline idea.</t>
        </is>
      </c>
      <c r="D5" s="11" t="inlineStr">
        <is>
          <t>Pending</t>
        </is>
      </c>
      <c r="E5" s="11" t="n"/>
    </row>
    <row r="6">
      <c r="A6" s="10" t="inlineStr">
        <is>
          <t>Logos: UAS Dharwad, Startup India, MSME, others</t>
        </is>
      </c>
      <c r="B6" s="10" t="inlineStr">
        <is>
          <t>Home band, About</t>
        </is>
      </c>
      <c r="C6" s="10" t="inlineStr">
        <is>
          <t>High-res logos and approved wording ('Incubated by UAS Dharwad, recognised by Startup India').</t>
        </is>
      </c>
      <c r="D6" s="11" t="inlineStr">
        <is>
          <t>Pending</t>
        </is>
      </c>
      <c r="E6" s="11" t="n"/>
    </row>
    <row r="7">
      <c r="A7" s="10" t="inlineStr">
        <is>
          <t>Proven results numbers</t>
        </is>
      </c>
      <c r="B7" s="10" t="inlineStr">
        <is>
          <t>Why Choose Us, Farm Dev</t>
        </is>
      </c>
      <c r="C7" s="10" t="inlineStr">
        <is>
          <t>Total acres developed, farms developed, clients, projects, plants planted (verified). Current site says 120+ farms, 850+ acres; please confirm.</t>
        </is>
      </c>
      <c r="D7" s="11" t="inlineStr">
        <is>
          <t>Pending</t>
        </is>
      </c>
      <c r="E7" s="11" t="n"/>
    </row>
    <row r="8">
      <c r="A8" s="10" t="inlineStr">
        <is>
          <t>Why Choose Us points</t>
        </is>
      </c>
      <c r="B8" s="10" t="inlineStr">
        <is>
          <t>Home, Why Choose Us</t>
        </is>
      </c>
      <c r="C8" s="10" t="inlineStr">
        <is>
          <t>Plant authenticity (how quality is ensured), domain expertise, delivery to farm.</t>
        </is>
      </c>
      <c r="D8" s="11" t="inlineStr">
        <is>
          <t>Pending</t>
        </is>
      </c>
      <c r="E8" s="11" t="n"/>
    </row>
    <row r="9">
      <c r="A9" s="10" t="inlineStr">
        <is>
          <t>About Us</t>
        </is>
      </c>
      <c r="B9" s="10" t="inlineStr">
        <is>
          <t>About</t>
        </is>
      </c>
      <c r="C9" s="10" t="inlineStr">
        <is>
          <t>Chemical-free approach, certified permaculture designer (certificate copy), vision, mission, team photos.</t>
        </is>
      </c>
      <c r="D9" s="11" t="inlineStr">
        <is>
          <t>Pending</t>
        </is>
      </c>
      <c r="E9" s="11" t="n"/>
    </row>
    <row r="10">
      <c r="A10" s="10" t="inlineStr">
        <is>
          <t>Testimonials</t>
        </is>
      </c>
      <c r="B10" s="10" t="inlineStr">
        <is>
          <t>Home</t>
        </is>
      </c>
      <c r="C10" s="10" t="inlineStr">
        <is>
          <t>Name, location, photo, review, rating (1-5), farm/project details. Minimum 6.</t>
        </is>
      </c>
      <c r="D10" s="11" t="inlineStr">
        <is>
          <t>Pending</t>
        </is>
      </c>
      <c r="E10" s="11" t="n"/>
    </row>
    <row r="11">
      <c r="A11" s="10" t="inlineStr">
        <is>
          <t>DIY / Learn-how videos</t>
        </is>
      </c>
      <c r="B11" s="10" t="inlineStr">
        <is>
          <t>Home, Recommendation</t>
        </is>
      </c>
      <c r="C11" s="10" t="inlineStr">
        <is>
          <t>YouTube links, title, category, which model it belongs to (Commercial / Food Forest / Miyawaki).</t>
        </is>
      </c>
      <c r="D11" s="11" t="inlineStr">
        <is>
          <t>Pending</t>
        </is>
      </c>
      <c r="E11" s="11" t="n"/>
    </row>
    <row r="12">
      <c r="A12" s="10" t="inlineStr">
        <is>
          <t>Our Work (projects)</t>
        </is>
      </c>
      <c r="B12" s="10" t="inlineStr">
        <is>
          <t>Farm Development</t>
        </is>
      </c>
      <c r="C12" s="10" t="inlineStr">
        <is>
          <t>Per project: photos, before/after, location, acres, scope of work.</t>
        </is>
      </c>
      <c r="D12" s="11" t="inlineStr">
        <is>
          <t>Pending</t>
        </is>
      </c>
      <c r="E12" s="11" t="n"/>
    </row>
    <row r="13">
      <c r="A13" s="10" t="inlineStr">
        <is>
          <t>Our Clients</t>
        </is>
      </c>
      <c r="B13" s="10" t="inlineStr">
        <is>
          <t>Farm Development</t>
        </is>
      </c>
      <c r="C13" s="10" t="inlineStr">
        <is>
          <t>Client name (permission to show), project type, location, acreage, work done.</t>
        </is>
      </c>
      <c r="D13" s="11" t="inlineStr">
        <is>
          <t>Pending</t>
        </is>
      </c>
      <c r="E13" s="11" t="n"/>
    </row>
    <row r="14">
      <c r="A14" s="10" t="inlineStr">
        <is>
          <t>Damage policy</t>
        </is>
      </c>
      <c r="B14" s="10" t="inlineStr">
        <is>
          <t>Checkout, footer, policy page</t>
        </is>
      </c>
      <c r="C14" s="10" t="inlineStr">
        <is>
          <t>Reporting window (e.g. 48 hours), photo/video proof, what is covered.</t>
        </is>
      </c>
      <c r="D14" s="11" t="inlineStr">
        <is>
          <t>Pending</t>
        </is>
      </c>
      <c r="E14" s="11" t="n"/>
    </row>
    <row r="15">
      <c r="A15" s="10" t="inlineStr">
        <is>
          <t>Replacement policy</t>
        </is>
      </c>
      <c r="B15" s="10" t="inlineStr">
        <is>
          <t>Checkout, footer, policy page</t>
        </is>
      </c>
      <c r="C15" s="10" t="inlineStr">
        <is>
          <t>When a replacement is given, timeline, delivery of replacement.</t>
        </is>
      </c>
      <c r="D15" s="11" t="inlineStr">
        <is>
          <t>Pending</t>
        </is>
      </c>
      <c r="E15" s="11" t="n"/>
    </row>
    <row r="16">
      <c r="A16" s="10" t="inlineStr">
        <is>
          <t>Cancellation / return policy</t>
        </is>
      </c>
      <c r="B16" s="10" t="inlineStr">
        <is>
          <t>Checkout, footer, policy page</t>
        </is>
      </c>
      <c r="C16" s="10" t="inlineStr">
        <is>
          <t>Confirmed: no cancellation or return. Any exception (e.g. order not dispatched)?</t>
        </is>
      </c>
      <c r="D16" s="11" t="inlineStr">
        <is>
          <t>Pending</t>
        </is>
      </c>
      <c r="E16" s="11" t="n"/>
    </row>
    <row r="17">
      <c r="A17" s="10" t="inlineStr">
        <is>
          <t>Shipping policy</t>
        </is>
      </c>
      <c r="B17" s="10" t="inlineStr">
        <is>
          <t>Policy page</t>
        </is>
      </c>
      <c r="C17" s="10" t="inlineStr">
        <is>
          <t>Dispatch time, delivery time, areas served.</t>
        </is>
      </c>
      <c r="D17" s="11" t="inlineStr">
        <is>
          <t>Pending</t>
        </is>
      </c>
      <c r="E17" s="11" t="n"/>
    </row>
    <row r="18">
      <c r="A18" s="10" t="inlineStr">
        <is>
          <t>Terms, Privacy policy</t>
        </is>
      </c>
      <c r="B18" s="10" t="inlineStr">
        <is>
          <t>Footer</t>
        </is>
      </c>
      <c r="C18" s="10" t="inlineStr">
        <is>
          <t>Company legal name, registered address, jurisdiction city.</t>
        </is>
      </c>
      <c r="D18" s="11" t="inlineStr">
        <is>
          <t>Pending</t>
        </is>
      </c>
      <c r="E18" s="11" t="n"/>
    </row>
    <row r="19">
      <c r="A19" s="10" t="inlineStr">
        <is>
          <t>GST / invoice details</t>
        </is>
      </c>
      <c r="B19" s="10" t="inlineStr">
        <is>
          <t>Invoices</t>
        </is>
      </c>
      <c r="C19" s="10" t="inlineStr">
        <is>
          <t>Company GSTIN, legal name, address, state code, invoice prefix.</t>
        </is>
      </c>
      <c r="D19" s="11" t="inlineStr">
        <is>
          <t>Pending</t>
        </is>
      </c>
      <c r="E19" s="11" t="n"/>
    </row>
    <row r="20">
      <c r="A20" s="10" t="inlineStr">
        <is>
          <t>Payment gateway account</t>
        </is>
      </c>
      <c r="B20" s="10" t="inlineStr">
        <is>
          <t>Checkout</t>
        </is>
      </c>
      <c r="C20" s="10" t="inlineStr">
        <is>
          <t>Razorpay / PhonePe / Cashfree, with KYC completed.</t>
        </is>
      </c>
      <c r="D20" s="11" t="inlineStr">
        <is>
          <t>Pending</t>
        </is>
      </c>
      <c r="E20" s="11" t="n"/>
    </row>
    <row r="21">
      <c r="A21" s="10" t="inlineStr">
        <is>
          <t>SMS / WhatsApp provider</t>
        </is>
      </c>
      <c r="B21" s="10" t="inlineStr">
        <is>
          <t>OTP, alerts</t>
        </is>
      </c>
      <c r="C21" s="10" t="inlineStr">
        <is>
          <t>Provider account, sender ID / DLT templates, WhatsApp Business number, admin alert numbers.</t>
        </is>
      </c>
      <c r="D21" s="11" t="inlineStr">
        <is>
          <t>Pending</t>
        </is>
      </c>
      <c r="E21" s="11" t="n"/>
    </row>
    <row r="22">
      <c r="A22" s="10" t="inlineStr">
        <is>
          <t>Kannada translations</t>
        </is>
      </c>
      <c r="B22" s="10" t="inlineStr">
        <is>
          <t>Whole site</t>
        </is>
      </c>
      <c r="C22" s="10" t="inlineStr">
        <is>
          <t>Who will translate/approve Kannada text and plant names?</t>
        </is>
      </c>
      <c r="D22" s="11" t="inlineStr">
        <is>
          <t>Pending</t>
        </is>
      </c>
      <c r="E22" s="11" t="n"/>
    </row>
    <row r="23">
      <c r="A23" s="10" t="inlineStr">
        <is>
          <t>Current offers</t>
        </is>
      </c>
      <c r="B23" s="10" t="inlineStr">
        <is>
          <t>Cart</t>
        </is>
      </c>
      <c r="C23" s="10" t="inlineStr">
        <is>
          <t>Active and planned offers/coupons with dates and eligible products.</t>
        </is>
      </c>
      <c r="D23" s="11" t="inlineStr">
        <is>
          <t>Pending</t>
        </is>
      </c>
      <c r="E23" s="11" t="n"/>
    </row>
    <row r="24">
      <c r="A24" s="10" t="inlineStr">
        <is>
          <t>Contact details</t>
        </is>
      </c>
      <c r="B24" s="10" t="inlineStr">
        <is>
          <t>Footer, Contact</t>
        </is>
      </c>
      <c r="C24" s="10" t="inlineStr">
        <is>
          <t>Phone(s), email, WhatsApp, nursery address, map link, working hours.</t>
        </is>
      </c>
      <c r="D24" s="11" t="inlineStr">
        <is>
          <t>Pending</t>
        </is>
      </c>
      <c r="E24" s="11" t="n"/>
    </row>
    <row r="25">
      <c r="A25" s="10" t="inlineStr">
        <is>
          <t>Product photos</t>
        </is>
      </c>
      <c r="B25" s="10" t="inlineStr">
        <is>
          <t>Shop</t>
        </is>
      </c>
      <c r="C25" s="10" t="inlineStr">
        <is>
          <t>New photos for plants marked 'New Photo Needed?' = Yes, and all input products.</t>
        </is>
      </c>
      <c r="D25" s="11" t="inlineStr">
        <is>
          <t>Pending</t>
        </is>
      </c>
      <c r="E25" s="11" t="n"/>
    </row>
  </sheetData>
  <dataValidations count="1">
    <dataValidation sqref="D5:D25" showDropDown="0" showInputMessage="0" showErrorMessage="0" allowBlank="1" type="list">
      <formula1>"Pending,Shared,Approved,Not applicable"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6" customWidth="1" min="4" max="4"/>
    <col width="30" customWidth="1" min="5" max="5"/>
  </cols>
  <sheetData>
    <row r="1">
      <c r="A1" s="1" t="inlineStr">
        <is>
          <t>Category Mapping (proposed)</t>
        </is>
      </c>
    </row>
    <row r="2">
      <c r="A2" s="2" t="inlineStr">
        <is>
          <t>Old shop had 5 categories. The SRS asks for Timber / Fruiting / Other. Please approve or change.</t>
        </is>
      </c>
    </row>
    <row r="4" ht="42" customHeight="1">
      <c r="A4" s="8" t="inlineStr">
        <is>
          <t>Old category</t>
        </is>
      </c>
      <c r="B4" s="8" t="inlineStr">
        <is>
          <t>No. of plants</t>
        </is>
      </c>
      <c r="C4" s="8" t="inlineStr">
        <is>
          <t>Proposed new category</t>
        </is>
      </c>
      <c r="D4" s="8" t="inlineStr">
        <is>
          <t>Proposed filter / sub-category</t>
        </is>
      </c>
      <c r="E4" s="8" t="inlineStr">
        <is>
          <t>Approved? / Change to</t>
        </is>
      </c>
    </row>
    <row r="5">
      <c r="A5" s="10" t="inlineStr">
        <is>
          <t>Forestry</t>
        </is>
      </c>
      <c r="B5" s="14">
        <f>COUNTIF(Plants!D:D,A5)</f>
        <v/>
      </c>
      <c r="C5" s="10" t="inlineStr">
        <is>
          <t>Timber Trees</t>
        </is>
      </c>
      <c r="D5" s="10" t="inlineStr">
        <is>
          <t>-</t>
        </is>
      </c>
      <c r="E5" s="11" t="inlineStr"/>
    </row>
    <row r="6">
      <c r="A6" s="10" t="inlineStr">
        <is>
          <t>Desi Fruits</t>
        </is>
      </c>
      <c r="B6" s="14">
        <f>COUNTIF(Plants!D:D,A6)</f>
        <v/>
      </c>
      <c r="C6" s="10" t="inlineStr">
        <is>
          <t>Fruiting Trees</t>
        </is>
      </c>
      <c r="D6" s="10" t="inlineStr">
        <is>
          <t>Desi</t>
        </is>
      </c>
      <c r="E6" s="11" t="inlineStr"/>
    </row>
    <row r="7">
      <c r="A7" s="10" t="inlineStr">
        <is>
          <t>Exotic fruits</t>
        </is>
      </c>
      <c r="B7" s="14">
        <f>COUNTIF(Plants!D:D,A7)</f>
        <v/>
      </c>
      <c r="C7" s="10" t="inlineStr">
        <is>
          <t>Fruiting Trees</t>
        </is>
      </c>
      <c r="D7" s="10" t="inlineStr">
        <is>
          <t>Exotic</t>
        </is>
      </c>
      <c r="E7" s="11" t="inlineStr"/>
    </row>
    <row r="8">
      <c r="A8" s="10" t="inlineStr">
        <is>
          <t>Spices</t>
        </is>
      </c>
      <c r="B8" s="14">
        <f>COUNTIF(Plants!D:D,A8)</f>
        <v/>
      </c>
      <c r="C8" s="10" t="inlineStr">
        <is>
          <t>Other Plants</t>
        </is>
      </c>
      <c r="D8" s="10" t="inlineStr">
        <is>
          <t>Spices</t>
        </is>
      </c>
      <c r="E8" s="11" t="inlineStr"/>
    </row>
    <row r="9">
      <c r="A9" s="10" t="inlineStr">
        <is>
          <t>Plantation</t>
        </is>
      </c>
      <c r="B9" s="14">
        <f>COUNTIF(Plants!D:D,A9)</f>
        <v/>
      </c>
      <c r="C9" s="10" t="inlineStr">
        <is>
          <t>Other Plants</t>
        </is>
      </c>
      <c r="D9" s="10" t="inlineStr">
        <is>
          <t>Plantation</t>
        </is>
      </c>
      <c r="E9" s="11" t="inlineStr"/>
    </row>
    <row r="11">
      <c r="A11" s="16" t="inlineStr">
        <is>
          <t>Input categories (new): Compost, Vermicompost, Biochar, Seeds, Liquid Fertiliser, Bio-Pesticide. Add more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2026-10-16T07:56:43Z</dcterms:created>
  <dcterms:modified xsi:type="dcterms:W3CDTF">2026-10-16T07:56:43Z</dcterms:modified>
</cp:coreProperties>
</file>